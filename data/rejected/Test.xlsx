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" sheetId="1" r:id="rId5"/>
    <sheet state="visible" name="Rhea" sheetId="2" r:id="rId6"/>
    <sheet state="visible" name="rhea_rhea" sheetId="3" r:id="rId7"/>
    <sheet state="visible" name="John 1" sheetId="4" r:id="rId8"/>
    <sheet state="visible" name="Copy of John 1" sheetId="5" r:id="rId9"/>
    <sheet state="visible" name="John 2" sheetId="6" r:id="rId10"/>
    <sheet state="visible" name="Johnreyexel" sheetId="7" r:id="rId11"/>
    <sheet state="visible" name="johnreyexcl" sheetId="8" r:id="rId12"/>
    <sheet state="visible" name="Pivot Table 2" sheetId="9" r:id="rId13"/>
  </sheets>
  <definedNames>
    <definedName hidden="1" localSheetId="4" name="_xlnm._FilterDatabase">'Copy of John 1'!$J$1:$J$1000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  <pivotCache cacheId="7" r:id="rId21"/>
  </pivotCaches>
</workbook>
</file>

<file path=xl/sharedStrings.xml><?xml version="1.0" encoding="utf-8"?>
<sst xmlns="http://schemas.openxmlformats.org/spreadsheetml/2006/main" count="5073" uniqueCount="763">
  <si>
    <t>OrderNbr</t>
  </si>
  <si>
    <t>Customer</t>
  </si>
  <si>
    <t>CustomerName</t>
  </si>
  <si>
    <t>Date</t>
  </si>
  <si>
    <t>OrderTotal</t>
  </si>
  <si>
    <t>CreatedBy</t>
  </si>
  <si>
    <t>SO00000687</t>
  </si>
  <si>
    <t>CITY GOVERNMENT OF DAVAO</t>
  </si>
  <si>
    <t>₱4372.25</t>
  </si>
  <si>
    <t>GRACE POLPOL</t>
  </si>
  <si>
    <t>SO00000012</t>
  </si>
  <si>
    <t>STAR PAPER CORPORATION</t>
  </si>
  <si>
    <t>₱1362.00</t>
  </si>
  <si>
    <t>ANGELI SUMINGIT</t>
  </si>
  <si>
    <t>SO00000005</t>
  </si>
  <si>
    <t>STENIEL MINDANAO PACKAGING CORPORATION</t>
  </si>
  <si>
    <t>₱1500.00</t>
  </si>
  <si>
    <t>SO00000028</t>
  </si>
  <si>
    <t>COMFAC CORPORATION</t>
  </si>
  <si>
    <t>₱1916.00</t>
  </si>
  <si>
    <t>SO00000021</t>
  </si>
  <si>
    <t>NXTGEN TECHNOLOGIES INC</t>
  </si>
  <si>
    <t>₱2148.80</t>
  </si>
  <si>
    <t>SO00000026</t>
  </si>
  <si>
    <t>INFIMAX HEALTH PRODUCTS</t>
  </si>
  <si>
    <t>₱2365.80</t>
  </si>
  <si>
    <t>SO00000020</t>
  </si>
  <si>
    <t>₱2367.50</t>
  </si>
  <si>
    <t>SO00000013</t>
  </si>
  <si>
    <t>DEPT. OF HUMAN SETTLEMENTS &amp; URBAN DEV'T</t>
  </si>
  <si>
    <t>₱38256.00</t>
  </si>
  <si>
    <t>SO00000097</t>
  </si>
  <si>
    <t>PHIL.FIBER INDUSTRY DEV'T AUTHORITY</t>
  </si>
  <si>
    <t>SO00000071</t>
  </si>
  <si>
    <t>HI5 SOLUTIONS OPC</t>
  </si>
  <si>
    <t>₱1600.00</t>
  </si>
  <si>
    <t>SO00000096</t>
  </si>
  <si>
    <t>B.P.I. - BAJADA (FRONTING CONPINCO)</t>
  </si>
  <si>
    <t>₱4762.10</t>
  </si>
  <si>
    <t>SO00000070</t>
  </si>
  <si>
    <t>INSULAR OIL CORPORATION</t>
  </si>
  <si>
    <t>₱5265.00</t>
  </si>
  <si>
    <t>SO00000103</t>
  </si>
  <si>
    <t>LAND BANK OF THE PHILS. - NABUNTURAN</t>
  </si>
  <si>
    <t>₱51900.00</t>
  </si>
  <si>
    <t>SO00000146</t>
  </si>
  <si>
    <t>IVN ENTERPRISES</t>
  </si>
  <si>
    <t>₱2060.00</t>
  </si>
  <si>
    <t>SO00000117</t>
  </si>
  <si>
    <t>KIM GUAN TRADING CO. INC.</t>
  </si>
  <si>
    <t>₱4097.50</t>
  </si>
  <si>
    <t>SO00000124</t>
  </si>
  <si>
    <t>SPAMAST</t>
  </si>
  <si>
    <t>₱6230.00</t>
  </si>
  <si>
    <t>SO00000121</t>
  </si>
  <si>
    <t>₱44970.00</t>
  </si>
  <si>
    <t>SO00000172</t>
  </si>
  <si>
    <t>ANTONIO'S GRILL</t>
  </si>
  <si>
    <t>₱525.30</t>
  </si>
  <si>
    <t>SO00000196</t>
  </si>
  <si>
    <t>FAR EAST ASSOCIATES</t>
  </si>
  <si>
    <t>₱2265.45</t>
  </si>
  <si>
    <t>SO00000168</t>
  </si>
  <si>
    <t>LAND BANK - TORIL BRANCH</t>
  </si>
  <si>
    <t>₱3256.00</t>
  </si>
  <si>
    <t>SO00000179</t>
  </si>
  <si>
    <t>SIMC</t>
  </si>
  <si>
    <t>₱4400.60</t>
  </si>
  <si>
    <t>SO00000219</t>
  </si>
  <si>
    <t>HELPMATE INCORPORATED</t>
  </si>
  <si>
    <t>₱8254.15</t>
  </si>
  <si>
    <t>SO00000190</t>
  </si>
  <si>
    <t>₱111000.00</t>
  </si>
  <si>
    <t>SO00000275</t>
  </si>
  <si>
    <t>₱765.00</t>
  </si>
  <si>
    <t>SO00000262</t>
  </si>
  <si>
    <t>₱1525.00</t>
  </si>
  <si>
    <t>SO00000263</t>
  </si>
  <si>
    <t>SO00000265</t>
  </si>
  <si>
    <t>SO00000266</t>
  </si>
  <si>
    <t>SO00000245</t>
  </si>
  <si>
    <t>EHB ENTERPRISES &amp; PRINTHAUS</t>
  </si>
  <si>
    <t>₱2050.00</t>
  </si>
  <si>
    <t>SO00000247</t>
  </si>
  <si>
    <t>ML PREMIUM RESOURCES CORP.</t>
  </si>
  <si>
    <t>₱3571.75</t>
  </si>
  <si>
    <t>SO00000296</t>
  </si>
  <si>
    <t>ARM-G  INT'L. LOGISTIC INC.</t>
  </si>
  <si>
    <t>₱5151.00</t>
  </si>
  <si>
    <t>SO00000313</t>
  </si>
  <si>
    <t>ASTROBUILT CONSTRUCTION &amp; DEVELOPMENT</t>
  </si>
  <si>
    <t>₱7885.30</t>
  </si>
  <si>
    <t>SO00000337</t>
  </si>
  <si>
    <t>EC GONZAGA ENTERPRISES</t>
  </si>
  <si>
    <t>₱10250.50</t>
  </si>
  <si>
    <t>SO00000334</t>
  </si>
  <si>
    <t>₱16973.25</t>
  </si>
  <si>
    <t>SO00000357</t>
  </si>
  <si>
    <t>EQUINOX SYNERGY OPC</t>
  </si>
  <si>
    <t>₱1154.00</t>
  </si>
  <si>
    <t>SO00000364</t>
  </si>
  <si>
    <t>₱3031.50</t>
  </si>
  <si>
    <t>SO00000342</t>
  </si>
  <si>
    <t>BANEXCO TRADERS INC.</t>
  </si>
  <si>
    <t>₱4490.40</t>
  </si>
  <si>
    <t>SO00000346</t>
  </si>
  <si>
    <t>LAND BANK OF THE PHILS. - RAMON MAGSAYSAY</t>
  </si>
  <si>
    <t>₱10550.00</t>
  </si>
  <si>
    <t>SO00000402</t>
  </si>
  <si>
    <t>₱744.00</t>
  </si>
  <si>
    <t>SO00000399</t>
  </si>
  <si>
    <t>EZGAB CORPORATION</t>
  </si>
  <si>
    <t>₱1873.10</t>
  </si>
  <si>
    <t>SO00000403</t>
  </si>
  <si>
    <t>₱1995.50</t>
  </si>
  <si>
    <t>SO00000405</t>
  </si>
  <si>
    <t>FOCUSINC GROUP CORP.</t>
  </si>
  <si>
    <t>₱2113.60</t>
  </si>
  <si>
    <t>SO00000398</t>
  </si>
  <si>
    <t>CIVIL SERVICE COMMISSION-REG. XI</t>
  </si>
  <si>
    <t>₱4800.00</t>
  </si>
  <si>
    <t>SO00000436</t>
  </si>
  <si>
    <t>₱711.00</t>
  </si>
  <si>
    <t>SO00000434</t>
  </si>
  <si>
    <t>₱1289.35</t>
  </si>
  <si>
    <t>SO00000437</t>
  </si>
  <si>
    <t>₱1806.00</t>
  </si>
  <si>
    <t>SO00000243</t>
  </si>
  <si>
    <t>NAKASHIN DAVAO INTERNATIONAL INC.</t>
  </si>
  <si>
    <t>₱3700.80</t>
  </si>
  <si>
    <t>SO00000464</t>
  </si>
  <si>
    <t>PNJK INC</t>
  </si>
  <si>
    <t>₱3720.00</t>
  </si>
  <si>
    <t>SO00000463</t>
  </si>
  <si>
    <t>B.P.I. -  HOUSING LOAN</t>
  </si>
  <si>
    <t>₱5500.00</t>
  </si>
  <si>
    <t>SO00000488</t>
  </si>
  <si>
    <t>LICSAL CONSTRUCTION CORP.</t>
  </si>
  <si>
    <t>₱15998.00</t>
  </si>
  <si>
    <t>Vivian Chavez</t>
  </si>
  <si>
    <t>SO00000498</t>
  </si>
  <si>
    <t>₱324.00</t>
  </si>
  <si>
    <t>SO00000510</t>
  </si>
  <si>
    <t>₱569.80</t>
  </si>
  <si>
    <t>SO00000518</t>
  </si>
  <si>
    <t>REJOICE FAMILY FOODS</t>
  </si>
  <si>
    <t>₱1172.00</t>
  </si>
  <si>
    <t>SO00000501</t>
  </si>
  <si>
    <t>AGRI DAVAO INCORPORATED</t>
  </si>
  <si>
    <t>₱2526.50</t>
  </si>
  <si>
    <t>SO00000514</t>
  </si>
  <si>
    <t>₱2759.80</t>
  </si>
  <si>
    <t>SO00000515</t>
  </si>
  <si>
    <t>₱3290.00</t>
  </si>
  <si>
    <t>SO00000527</t>
  </si>
  <si>
    <t>CHARVERSON WOOD INDUSTRY INC.</t>
  </si>
  <si>
    <t>₱3818.70</t>
  </si>
  <si>
    <t>SO00000500</t>
  </si>
  <si>
    <t>₱4312.00</t>
  </si>
  <si>
    <t>SO00000535</t>
  </si>
  <si>
    <t>DAVAO CONCRETE POLES CORPORATION</t>
  </si>
  <si>
    <t>₱773.00</t>
  </si>
  <si>
    <t>SO00000538</t>
  </si>
  <si>
    <t>KALINGAP PHARMACY</t>
  </si>
  <si>
    <t>₱2586.00</t>
  </si>
  <si>
    <t>SO00000540</t>
  </si>
  <si>
    <t>SILANGAN MULTI-PURPOSE COOPERATIVE - BUHANGIN</t>
  </si>
  <si>
    <t>₱3382.85</t>
  </si>
  <si>
    <t>SO00000566</t>
  </si>
  <si>
    <t>EAST WEST BANK - BAJADA  2FLR.</t>
  </si>
  <si>
    <t>₱4384.50</t>
  </si>
  <si>
    <t>SO00000530</t>
  </si>
  <si>
    <t>TRINITAS FOOD CORP.</t>
  </si>
  <si>
    <t>₱5596.00</t>
  </si>
  <si>
    <t>SO00000573</t>
  </si>
  <si>
    <t>MOTORMALL DAVAO CORPORATION</t>
  </si>
  <si>
    <t>₱3488.50</t>
  </si>
  <si>
    <t>SO00000572</t>
  </si>
  <si>
    <t>GREENKREATIONS INC.</t>
  </si>
  <si>
    <t>₱5588.50</t>
  </si>
  <si>
    <t>SO00000589</t>
  </si>
  <si>
    <t>INNOBUILDTEK DEVELOPMENT INC</t>
  </si>
  <si>
    <t>₱28093.60</t>
  </si>
  <si>
    <t>SO00000616</t>
  </si>
  <si>
    <t>SUNFRESH AGRICULTURAL VENTURES INC.</t>
  </si>
  <si>
    <t>₱1762.00</t>
  </si>
  <si>
    <t>SO00000621</t>
  </si>
  <si>
    <t>PHILIPS GLASS &amp; ALUMINUM SALES INC.</t>
  </si>
  <si>
    <t>₱4819.00</t>
  </si>
  <si>
    <t>SO00000677</t>
  </si>
  <si>
    <t>AKTIV MULTI TRADING CO. PHILS. INC.</t>
  </si>
  <si>
    <t>₱779.25</t>
  </si>
  <si>
    <t>SO00000690</t>
  </si>
  <si>
    <t>KILOTRADE</t>
  </si>
  <si>
    <t>₱1710.30</t>
  </si>
  <si>
    <t>SO00000662</t>
  </si>
  <si>
    <t>₱2200.00</t>
  </si>
  <si>
    <t>SO00000663</t>
  </si>
  <si>
    <t>₱3251.00</t>
  </si>
  <si>
    <t>SO00000682</t>
  </si>
  <si>
    <t>SEADOVE MARITIME SERVICES INC.</t>
  </si>
  <si>
    <t>₱10168.00</t>
  </si>
  <si>
    <t>SO00000684</t>
  </si>
  <si>
    <t>₱10316.40</t>
  </si>
  <si>
    <t>SO00000660</t>
  </si>
  <si>
    <t>RBGM MEDICAL EXPRESS SALES INC.</t>
  </si>
  <si>
    <t>₱21920.00</t>
  </si>
  <si>
    <t>SO00000692</t>
  </si>
  <si>
    <t>DEPT. OF TRADE &amp; INDUSTRY- RO-11</t>
  </si>
  <si>
    <t>₱27978.00</t>
  </si>
  <si>
    <t>SO00000701</t>
  </si>
  <si>
    <t>₱240.00</t>
  </si>
  <si>
    <t>SO00000730</t>
  </si>
  <si>
    <t>FIESTA  APPLIANCE CENTER INC.</t>
  </si>
  <si>
    <t>₱799.00</t>
  </si>
  <si>
    <t>SO00000702</t>
  </si>
  <si>
    <t>PHILIPPINE COCONUT AUTHORITY-REG.XI</t>
  </si>
  <si>
    <t>₱1316.00</t>
  </si>
  <si>
    <t>SO00000707</t>
  </si>
  <si>
    <t>₱2122.00</t>
  </si>
  <si>
    <t>SO00000735</t>
  </si>
  <si>
    <t>GTM GET THINGS MOVING DISTRIBUTION INC.</t>
  </si>
  <si>
    <t>₱2485.85</t>
  </si>
  <si>
    <t>SO00000717</t>
  </si>
  <si>
    <t>EAST WEST BANK - DAVAO AGDAO BRANCH</t>
  </si>
  <si>
    <t>₱7782.50</t>
  </si>
  <si>
    <t>SO00000709</t>
  </si>
  <si>
    <t>₱13562.70</t>
  </si>
  <si>
    <t>SO00000728</t>
  </si>
  <si>
    <t>₱16200.00</t>
  </si>
  <si>
    <t>SO00000723</t>
  </si>
  <si>
    <t>LAND BANK OF THE PHILIPPINES - MATI BRANCH</t>
  </si>
  <si>
    <t>₱33650.00</t>
  </si>
  <si>
    <t>SO00000729</t>
  </si>
  <si>
    <t>₱47250.00</t>
  </si>
  <si>
    <t>SO00000739</t>
  </si>
  <si>
    <t>₱105000.00</t>
  </si>
  <si>
    <t>SO00000750</t>
  </si>
  <si>
    <t>₱1048.00</t>
  </si>
  <si>
    <t>SO00000759</t>
  </si>
  <si>
    <t>MALAYAN INSURANCE COMPANY INC.</t>
  </si>
  <si>
    <t>₱1100.00</t>
  </si>
  <si>
    <t>SO00000758</t>
  </si>
  <si>
    <t>₱1686.00</t>
  </si>
  <si>
    <t>SO00000788</t>
  </si>
  <si>
    <t>NATIONAL POLICE COMMISSION</t>
  </si>
  <si>
    <t>₱4562.00</t>
  </si>
  <si>
    <t>SO00000789</t>
  </si>
  <si>
    <t>₱4700.00</t>
  </si>
  <si>
    <t>SO00000755</t>
  </si>
  <si>
    <t>₱11901.40</t>
  </si>
  <si>
    <t>SO00000801</t>
  </si>
  <si>
    <t>DEPARTMENT OF TOURISM</t>
  </si>
  <si>
    <t>₱12300.00</t>
  </si>
  <si>
    <t>SO00000803</t>
  </si>
  <si>
    <t>JATHNIER CORPORATION</t>
  </si>
  <si>
    <t>₱13000.00</t>
  </si>
  <si>
    <t>SO00000754</t>
  </si>
  <si>
    <t>₱16466.00</t>
  </si>
  <si>
    <t>SO00000752</t>
  </si>
  <si>
    <t>₱18387.75</t>
  </si>
  <si>
    <t>SO00000814</t>
  </si>
  <si>
    <t>LAND BANK OF THE PHILS.-BANSALAN BRANCH</t>
  </si>
  <si>
    <t>₱966.00</t>
  </si>
  <si>
    <t>SO00000835</t>
  </si>
  <si>
    <t>B.P.I. - LANANG</t>
  </si>
  <si>
    <t>SO00001532</t>
  </si>
  <si>
    <t>HAFELE PHILIPPINES INC.</t>
  </si>
  <si>
    <t>₱19060.50</t>
  </si>
  <si>
    <t>SO00000855</t>
  </si>
  <si>
    <t>JLP DESIGN</t>
  </si>
  <si>
    <t>₱1099.00</t>
  </si>
  <si>
    <t>SO00000861</t>
  </si>
  <si>
    <t>GOLDEN BALES CORPORATION</t>
  </si>
  <si>
    <t>₱3280.00</t>
  </si>
  <si>
    <t>SO00000854</t>
  </si>
  <si>
    <t>DIGOS WATER DISTRICT</t>
  </si>
  <si>
    <t>₱5900.00</t>
  </si>
  <si>
    <t>SO00000853</t>
  </si>
  <si>
    <t>EAST WEST BANK</t>
  </si>
  <si>
    <t>₱10831.50</t>
  </si>
  <si>
    <t>SO00000869</t>
  </si>
  <si>
    <t>DAVAO FIBREBOARD PACKAGING PLANT INC.</t>
  </si>
  <si>
    <t>₱903.92</t>
  </si>
  <si>
    <t>SO00000881</t>
  </si>
  <si>
    <t>JEWM AGRO-INDUSTRIAL CORPORATION</t>
  </si>
  <si>
    <t>₱1804.00</t>
  </si>
  <si>
    <t>SO00000914</t>
  </si>
  <si>
    <t>MINDANAO KOKUSAI DAIGAKU</t>
  </si>
  <si>
    <t>₱7650.00</t>
  </si>
  <si>
    <t>SO00000889</t>
  </si>
  <si>
    <t>STERLING BANK OF ASIA - BAJADA</t>
  </si>
  <si>
    <t>₱8128.00</t>
  </si>
  <si>
    <t>SO00000905</t>
  </si>
  <si>
    <t>FELY M. MORATA CUSTOM BROKERAGE SERVICES</t>
  </si>
  <si>
    <t>ARM-G INT'L. LOGISTIC INC.</t>
  </si>
  <si>
    <t>₱17417.00</t>
  </si>
  <si>
    <t>SO00000896</t>
  </si>
  <si>
    <t>UNIVERSITY OF SOUTHEASTERN PHILS.</t>
  </si>
  <si>
    <t>₱22725.00</t>
  </si>
  <si>
    <t>SO00000909</t>
  </si>
  <si>
    <t>INSURANCE COMMISSION</t>
  </si>
  <si>
    <t>₱45360.00</t>
  </si>
  <si>
    <t>SO00000920</t>
  </si>
  <si>
    <t>₱990.00</t>
  </si>
  <si>
    <t>SO00000938</t>
  </si>
  <si>
    <t>RV BAYANIHAN LENDING</t>
  </si>
  <si>
    <t>₱3305.00</t>
  </si>
  <si>
    <t>SO00000921</t>
  </si>
  <si>
    <t>₱4807.00</t>
  </si>
  <si>
    <t>SO00000922</t>
  </si>
  <si>
    <t>₱5732.00</t>
  </si>
  <si>
    <t>SO00000935</t>
  </si>
  <si>
    <t>PANORAMA SUMMIT HOTEL</t>
  </si>
  <si>
    <t>₱10990.00</t>
  </si>
  <si>
    <t>SO00000943</t>
  </si>
  <si>
    <t>ASIAGLOBAL TECHNOLOGIES INC.</t>
  </si>
  <si>
    <t>₱4236.55</t>
  </si>
  <si>
    <t>SO00000948</t>
  </si>
  <si>
    <t>₱7140.00</t>
  </si>
  <si>
    <t>SO00001562</t>
  </si>
  <si>
    <t>AMERICARES FOUNDATION INC.</t>
  </si>
  <si>
    <t>₱365925.00</t>
  </si>
  <si>
    <t>SO00000976</t>
  </si>
  <si>
    <t>₱227.00</t>
  </si>
  <si>
    <t>SO00001000</t>
  </si>
  <si>
    <t>AFP &amp; POLICE SAVINGS LOAN ASSN (AFPSLAI)</t>
  </si>
  <si>
    <t>₱1537.20</t>
  </si>
  <si>
    <t>SO00000978</t>
  </si>
  <si>
    <t>₱3157.00</t>
  </si>
  <si>
    <t>SO00000966</t>
  </si>
  <si>
    <t>₱6180.50</t>
  </si>
  <si>
    <t>SO00000979</t>
  </si>
  <si>
    <t>HEAD CORPORATION</t>
  </si>
  <si>
    <t>₱12195.80</t>
  </si>
  <si>
    <t>SO00000970</t>
  </si>
  <si>
    <t>IGACOS WATER DISTRICT</t>
  </si>
  <si>
    <t>SO00001011</t>
  </si>
  <si>
    <t>UNIVERSITY OF SOUTHERN MINDANAO</t>
  </si>
  <si>
    <t>₱1080.00</t>
  </si>
  <si>
    <t>SO00001001</t>
  </si>
  <si>
    <t>SO00001003</t>
  </si>
  <si>
    <t>HAVEN UNITED DEV'T. CORPORATION</t>
  </si>
  <si>
    <t>₱20494.75</t>
  </si>
  <si>
    <t>SO00001008</t>
  </si>
  <si>
    <t>KABACAN WATER DISTRICT</t>
  </si>
  <si>
    <t>₱50228.00</t>
  </si>
  <si>
    <t>SO00001048</t>
  </si>
  <si>
    <t>DAVAO GENERAL HARDWARE COMPANY</t>
  </si>
  <si>
    <t>₱1292.30</t>
  </si>
  <si>
    <t>SO00001038</t>
  </si>
  <si>
    <t>₱1305.00</t>
  </si>
  <si>
    <t>SO00001047</t>
  </si>
  <si>
    <t>₱14750.00</t>
  </si>
  <si>
    <t>SO00001101</t>
  </si>
  <si>
    <t>₱1700.00</t>
  </si>
  <si>
    <t>SO00001089</t>
  </si>
  <si>
    <t>₱2196.00</t>
  </si>
  <si>
    <t>SO00001092</t>
  </si>
  <si>
    <t>MUNICIPALITY OF LUPON - LGU</t>
  </si>
  <si>
    <t>₱2404.50</t>
  </si>
  <si>
    <t>SO00001098</t>
  </si>
  <si>
    <t>KENNEMER FOODS INTERNATIONAL INC.</t>
  </si>
  <si>
    <t>₱2850.00</t>
  </si>
  <si>
    <t>SO00001097</t>
  </si>
  <si>
    <t>₱4977.00</t>
  </si>
  <si>
    <t>SO00001096</t>
  </si>
  <si>
    <t>₱5300.00</t>
  </si>
  <si>
    <t>SO00001068</t>
  </si>
  <si>
    <t>₱5969.10</t>
  </si>
  <si>
    <t>SO00001061</t>
  </si>
  <si>
    <t>₱7059.00</t>
  </si>
  <si>
    <t>SO00001099</t>
  </si>
  <si>
    <t>₱7705.00</t>
  </si>
  <si>
    <t>SO00001095</t>
  </si>
  <si>
    <t>₱8646.00</t>
  </si>
  <si>
    <t>SO00001085</t>
  </si>
  <si>
    <t>F.S. DIZON &amp; SONS INC.</t>
  </si>
  <si>
    <t>₱10050.00</t>
  </si>
  <si>
    <t>SO00001082</t>
  </si>
  <si>
    <t>₱14655.10</t>
  </si>
  <si>
    <t>SO00001093</t>
  </si>
  <si>
    <t>₱14702.80</t>
  </si>
  <si>
    <t>SO00001091</t>
  </si>
  <si>
    <t>₱14995.50</t>
  </si>
  <si>
    <t>SO00001100</t>
  </si>
  <si>
    <t>₱15202.00</t>
  </si>
  <si>
    <t>SO00001064</t>
  </si>
  <si>
    <t>₱23146.00</t>
  </si>
  <si>
    <t>SO00001063</t>
  </si>
  <si>
    <t>₱31373.20</t>
  </si>
  <si>
    <t>SO00001067</t>
  </si>
  <si>
    <t>₱39347.30</t>
  </si>
  <si>
    <t>SO00001066</t>
  </si>
  <si>
    <t>₱40765.40</t>
  </si>
  <si>
    <t>SO00001073</t>
  </si>
  <si>
    <t>MINES AND GEOSCIENCES BUREAU-RXI</t>
  </si>
  <si>
    <t>₱45642.50</t>
  </si>
  <si>
    <t>SO00001090</t>
  </si>
  <si>
    <t>₱147021.00</t>
  </si>
  <si>
    <t>SO00001131</t>
  </si>
  <si>
    <t>₱2915.50</t>
  </si>
  <si>
    <t>SO00001105</t>
  </si>
  <si>
    <t>SOUTHERN HARVEST INCORPORATED</t>
  </si>
  <si>
    <t>₱5250.00</t>
  </si>
  <si>
    <t>SO00001168</t>
  </si>
  <si>
    <t>TRANSNATIONAL AVIATION SUPPORT SERVICES</t>
  </si>
  <si>
    <t>₱6552.00</t>
  </si>
  <si>
    <t>SO00001108</t>
  </si>
  <si>
    <t>₱16238.70</t>
  </si>
  <si>
    <t>SO00001172</t>
  </si>
  <si>
    <t>NATIONAL CONCILIATION AND MEDIAT'N BOARD</t>
  </si>
  <si>
    <t>₱16789.55</t>
  </si>
  <si>
    <t>SO00001109</t>
  </si>
  <si>
    <t>₱17687.60</t>
  </si>
  <si>
    <t>SO00001165</t>
  </si>
  <si>
    <t>₱98228.40</t>
  </si>
  <si>
    <t>SO00001184</t>
  </si>
  <si>
    <t>₱3130.45</t>
  </si>
  <si>
    <t>SO00001185</t>
  </si>
  <si>
    <t>₱3354.00</t>
  </si>
  <si>
    <t>SO00001174</t>
  </si>
  <si>
    <t>AUTOKID SOUTH MINDANAO CORP.</t>
  </si>
  <si>
    <t>₱10368.80</t>
  </si>
  <si>
    <t>B.P.I. - HOUSING LOAN</t>
  </si>
  <si>
    <t>SO00001225</t>
  </si>
  <si>
    <t>SO00001207</t>
  </si>
  <si>
    <t>₱1800.00</t>
  </si>
  <si>
    <t>SO00001232</t>
  </si>
  <si>
    <t>₱2475.25</t>
  </si>
  <si>
    <t>SO00001208</t>
  </si>
  <si>
    <t>₱4490.20</t>
  </si>
  <si>
    <t>SO00001240</t>
  </si>
  <si>
    <t>DEPARTMENT OF BUDGET &amp; MANAGEMENT</t>
  </si>
  <si>
    <t>₱7750.00</t>
  </si>
  <si>
    <t>SO00001233</t>
  </si>
  <si>
    <t>₱8686.00</t>
  </si>
  <si>
    <t>SO00001235</t>
  </si>
  <si>
    <t>COMMISSION ON AUDIT</t>
  </si>
  <si>
    <t>₱8779.00</t>
  </si>
  <si>
    <t>SO00001258</t>
  </si>
  <si>
    <t>₱3804.00</t>
  </si>
  <si>
    <t>SO00001246</t>
  </si>
  <si>
    <t>AMESCO DRUG CORPORATION</t>
  </si>
  <si>
    <t>₱4956.00</t>
  </si>
  <si>
    <t>SO00001251</t>
  </si>
  <si>
    <t>₱20035.40</t>
  </si>
  <si>
    <t>SO00001250</t>
  </si>
  <si>
    <t>₱103307.50</t>
  </si>
  <si>
    <t>SO00001279</t>
  </si>
  <si>
    <t>₱3557.00</t>
  </si>
  <si>
    <t>SO00001274</t>
  </si>
  <si>
    <t>₱4209.50</t>
  </si>
  <si>
    <t>SO00001296</t>
  </si>
  <si>
    <t>CONSULATE GENERAL OF JAPAN</t>
  </si>
  <si>
    <t>₱5826.66</t>
  </si>
  <si>
    <t>SO00001354</t>
  </si>
  <si>
    <t>₱10488.70</t>
  </si>
  <si>
    <t>SO00001282</t>
  </si>
  <si>
    <t>₱11124.50</t>
  </si>
  <si>
    <t>SO00001297</t>
  </si>
  <si>
    <t>₱15375.20</t>
  </si>
  <si>
    <t>SO00001304</t>
  </si>
  <si>
    <t>NATIONAL FOOD AUTHORITY - TAGUM</t>
  </si>
  <si>
    <t>₱25268.00</t>
  </si>
  <si>
    <t>SO00001370</t>
  </si>
  <si>
    <t>AMALGATED CAPITAL INCORPORATED</t>
  </si>
  <si>
    <t>₱432.50</t>
  </si>
  <si>
    <t>SO00001371</t>
  </si>
  <si>
    <t>₱543.90</t>
  </si>
  <si>
    <t>SO00001321</t>
  </si>
  <si>
    <t>MUNICIPALITY OF KABACAN</t>
  </si>
  <si>
    <t>₱2485.00</t>
  </si>
  <si>
    <t>SO00001316</t>
  </si>
  <si>
    <t>ASSUMPTION COLLEGE OF DAVAO INC</t>
  </si>
  <si>
    <t>₱2950.00</t>
  </si>
  <si>
    <t>SO00001319</t>
  </si>
  <si>
    <t>₱3000.00</t>
  </si>
  <si>
    <t>SO00001346</t>
  </si>
  <si>
    <t>SF &amp; F TRUCKING SERVICES</t>
  </si>
  <si>
    <t>₱4522.00</t>
  </si>
  <si>
    <t>SO00001345</t>
  </si>
  <si>
    <t>DEPARTMENT OF SOCIAL WELFARE &amp; DEVT</t>
  </si>
  <si>
    <t>₱10140.00</t>
  </si>
  <si>
    <t>SO00001328</t>
  </si>
  <si>
    <t>MABUHAY WAREHOUSE</t>
  </si>
  <si>
    <t>₱10450.00</t>
  </si>
  <si>
    <t>SO00000458</t>
  </si>
  <si>
    <t>CHEVRON PHILIPPINES INC. (FORMER CALTEX)</t>
  </si>
  <si>
    <t>₱34720.00</t>
  </si>
  <si>
    <t>SO00001373</t>
  </si>
  <si>
    <t>₱640.50</t>
  </si>
  <si>
    <t>SO00001378</t>
  </si>
  <si>
    <t>₱900.00</t>
  </si>
  <si>
    <t>SO00001401</t>
  </si>
  <si>
    <t>SHIMADZU PHILS. CORP</t>
  </si>
  <si>
    <t>₱8040.00</t>
  </si>
  <si>
    <t>SO00001410</t>
  </si>
  <si>
    <t>MARITIME INDUSTRY AUTHORITY</t>
  </si>
  <si>
    <t>₱10629.75</t>
  </si>
  <si>
    <t>SO00001382</t>
  </si>
  <si>
    <t>LAND BANK OF THE PHILS. - PANABO</t>
  </si>
  <si>
    <t>₱11281.00</t>
  </si>
  <si>
    <t>SO00001402</t>
  </si>
  <si>
    <t>₱26720.00</t>
  </si>
  <si>
    <t>SO00001379</t>
  </si>
  <si>
    <t>DAVAO EYEMDS LASER AND SURGERY CENTER</t>
  </si>
  <si>
    <t>₱29710.00</t>
  </si>
  <si>
    <t>SO00001436</t>
  </si>
  <si>
    <t>₱440.00</t>
  </si>
  <si>
    <t>SO00001442</t>
  </si>
  <si>
    <t>SO00001324</t>
  </si>
  <si>
    <t>MILLENNIUM SPECIALTY COCO PRODUCTSINC.</t>
  </si>
  <si>
    <t>EAST WEST BANK - BAJADA 2FLR.</t>
  </si>
  <si>
    <t>₱1200.00</t>
  </si>
  <si>
    <t>FIESTA APPLIANCE CENTER INC.</t>
  </si>
  <si>
    <t>SUM of OrderTotal</t>
  </si>
  <si>
    <t>Date - Month</t>
  </si>
  <si>
    <t>Nov</t>
  </si>
  <si>
    <t>Feb</t>
  </si>
  <si>
    <t>Jan</t>
  </si>
  <si>
    <t>Grand Total</t>
  </si>
  <si>
    <t>amounting to</t>
  </si>
  <si>
    <t>total</t>
  </si>
  <si>
    <t>avaergae number pf transaction per month</t>
  </si>
  <si>
    <t>jan</t>
  </si>
  <si>
    <t xml:space="preserve">ot the sales </t>
  </si>
  <si>
    <t>feb</t>
  </si>
  <si>
    <t xml:space="preserve"> </t>
  </si>
  <si>
    <t>month</t>
  </si>
  <si>
    <t>count OrderTotal</t>
  </si>
  <si>
    <t>COUNTA of month</t>
  </si>
  <si>
    <t>1250000116.00</t>
  </si>
  <si>
    <t>February</t>
  </si>
  <si>
    <t>1250000505.00</t>
  </si>
  <si>
    <t>January</t>
  </si>
  <si>
    <t>AFP &amp; POLICE SAVINGS LOAN ASSN (AFPSLAI) Total</t>
  </si>
  <si>
    <t>1250001764.00</t>
  </si>
  <si>
    <t>1250001496.00</t>
  </si>
  <si>
    <t>1200006565.00</t>
  </si>
  <si>
    <t>AGRI DAVAO INCORPORATED Total</t>
  </si>
  <si>
    <t>1250004966.00</t>
  </si>
  <si>
    <t>AKTIV MULTI TRADING CO. PHILS. INC. Total</t>
  </si>
  <si>
    <t>1250001142.00</t>
  </si>
  <si>
    <t>1200006417.00</t>
  </si>
  <si>
    <t>AMALGATED CAPITAL INCORPORATED Total</t>
  </si>
  <si>
    <t>1250010315.00</t>
  </si>
  <si>
    <t>1250004938.00</t>
  </si>
  <si>
    <t>AMERICARES FOUNDATION INC. Total</t>
  </si>
  <si>
    <t>1250003997.00</t>
  </si>
  <si>
    <t>1250003421.00</t>
  </si>
  <si>
    <t>AMESCO DRUG CORPORATION Total</t>
  </si>
  <si>
    <t>1200009067.00</t>
  </si>
  <si>
    <t>1250000118.00</t>
  </si>
  <si>
    <t>ANTONIO'S GRILL Total</t>
  </si>
  <si>
    <t>1250001741.00</t>
  </si>
  <si>
    <t>ARM-G  INT'L. LOGISTIC INC. Total</t>
  </si>
  <si>
    <t>1200007688.00</t>
  </si>
  <si>
    <t>1250000913.00</t>
  </si>
  <si>
    <t>ASIAGLOBAL TECHNOLOGIES INC. Total</t>
  </si>
  <si>
    <t>1250010259.00</t>
  </si>
  <si>
    <t>1250009502.00</t>
  </si>
  <si>
    <t>ASSUMPTION COLLEGE OF DAVAO INC Total</t>
  </si>
  <si>
    <t>1250010233.00</t>
  </si>
  <si>
    <t>ASTROBUILT CONSTRUCTION &amp; DEVELOPMENT Total</t>
  </si>
  <si>
    <t>AUTOKID SOUTH MINDANAO CORP. Total</t>
  </si>
  <si>
    <t>B.P.I. -  HOUSING LOAN Total</t>
  </si>
  <si>
    <t>1250002203.00</t>
  </si>
  <si>
    <t>B.P.I. - BAJADA (FRONTING CONPINCO) Total</t>
  </si>
  <si>
    <t>1250009745.00</t>
  </si>
  <si>
    <t>1200008920.00</t>
  </si>
  <si>
    <t>B.P.I. - LANANG Total</t>
  </si>
  <si>
    <t>1200007890.00</t>
  </si>
  <si>
    <t>1250009892.00</t>
  </si>
  <si>
    <t>BANEXCO TRADERS INC. Total</t>
  </si>
  <si>
    <t>1250010341.00</t>
  </si>
  <si>
    <t>CHARVERSON WOOD INDUSTRY INC. Total</t>
  </si>
  <si>
    <t>1250001348.00</t>
  </si>
  <si>
    <t>CHEVRON PHILIPPINES INC. (FORMER CALTEX) Total</t>
  </si>
  <si>
    <t>1250000034.00</t>
  </si>
  <si>
    <t>November</t>
  </si>
  <si>
    <t>CITY GOVERNMENT OF DAVAO Total</t>
  </si>
  <si>
    <t>1250004887.00</t>
  </si>
  <si>
    <t>1250003753.00</t>
  </si>
  <si>
    <t>CIVIL SERVICE COMMISSION-REG. XI Total</t>
  </si>
  <si>
    <t>1250000438.00</t>
  </si>
  <si>
    <t>COMFAC CORPORATION Total</t>
  </si>
  <si>
    <t>COMMISSION ON AUDIT Total</t>
  </si>
  <si>
    <t>1200007409.00</t>
  </si>
  <si>
    <t>1250004371.00</t>
  </si>
  <si>
    <t>CONSULATE GENERAL OF JAPAN Total</t>
  </si>
  <si>
    <t>1200008426.00</t>
  </si>
  <si>
    <t>1250010348.00</t>
  </si>
  <si>
    <t>DAVAO CONCRETE POLES CORPORATION Total</t>
  </si>
  <si>
    <t>1250001319.00</t>
  </si>
  <si>
    <t>DAVAO EYEMDS LASER AND SURGERY CENTER Total</t>
  </si>
  <si>
    <t>1250002059.00</t>
  </si>
  <si>
    <t>DAVAO FIBREBOARD PACKAGING PLANT INC. Total</t>
  </si>
  <si>
    <t>1250003015.00</t>
  </si>
  <si>
    <t>DAVAO GENERAL HARDWARE COMPANY Total</t>
  </si>
  <si>
    <t>1250001780.00</t>
  </si>
  <si>
    <t>DEPARTMENT OF BUDGET &amp; MANAGEMENT Total</t>
  </si>
  <si>
    <t>1200008537.00</t>
  </si>
  <si>
    <t>1250009423.00</t>
  </si>
  <si>
    <t>DEPARTMENT OF SOCIAL WELFARE &amp; DEVT Total</t>
  </si>
  <si>
    <t>1200006917.00</t>
  </si>
  <si>
    <t>1250002653.00</t>
  </si>
  <si>
    <t>DEPARTMENT OF TOURISM Total</t>
  </si>
  <si>
    <t>1250001178.00</t>
  </si>
  <si>
    <t>1250004411.00</t>
  </si>
  <si>
    <t>DEPT. OF HUMAN SETTLEMENTS &amp; URBAN DEV'T Total</t>
  </si>
  <si>
    <t>1200007752.00</t>
  </si>
  <si>
    <t>1220000614.00</t>
  </si>
  <si>
    <t>DEPT. OF TRADE &amp; INDUSTRY- RO-11 Total</t>
  </si>
  <si>
    <t>1200007686.00</t>
  </si>
  <si>
    <t>1250000164.00</t>
  </si>
  <si>
    <t>1200008786.00</t>
  </si>
  <si>
    <t>DIGOS WATER DISTRICT Total</t>
  </si>
  <si>
    <t>EAST WEST BANK Total</t>
  </si>
  <si>
    <t>1250005019.00</t>
  </si>
  <si>
    <t>EAST WEST BANK - BAJADA  2FLR. Total</t>
  </si>
  <si>
    <t>1250009576.00</t>
  </si>
  <si>
    <t>1200007818.00</t>
  </si>
  <si>
    <t>EAST WEST BANK - DAVAO AGDAO BRANCH Total</t>
  </si>
  <si>
    <t>1250010352.00</t>
  </si>
  <si>
    <t>1250001276.00</t>
  </si>
  <si>
    <t>EC GONZAGA ENTERPRISES Total</t>
  </si>
  <si>
    <t>1200008869.00</t>
  </si>
  <si>
    <t>EHB ENTERPRISES &amp; PRINTHAUS Total</t>
  </si>
  <si>
    <t>1200008243.00</t>
  </si>
  <si>
    <t>EQUINOX SYNERGY OPC Total</t>
  </si>
  <si>
    <t>1250002423.00</t>
  </si>
  <si>
    <t>EZGAB CORPORATION Total</t>
  </si>
  <si>
    <t>F.S. DIZON &amp; SONS INC. Total</t>
  </si>
  <si>
    <t>1250000147.00</t>
  </si>
  <si>
    <t>FAR EAST ASSOCIATES Total</t>
  </si>
  <si>
    <t>1250000629.00</t>
  </si>
  <si>
    <t>FELY M. MORATA CUSTOM BROKERAGE SERVICES Total</t>
  </si>
  <si>
    <t>1250000255.00</t>
  </si>
  <si>
    <t>FIESTA  APPLIANCE CENTER INC. Total</t>
  </si>
  <si>
    <t>1250003683.00</t>
  </si>
  <si>
    <t>FOCUSINC GROUP CORP. Total</t>
  </si>
  <si>
    <t>1250002297.00</t>
  </si>
  <si>
    <t>GOLDEN BALES CORPORATION Total</t>
  </si>
  <si>
    <t>1200008027.00</t>
  </si>
  <si>
    <t>1200008447.00</t>
  </si>
  <si>
    <t>GREENKREATIONS INC. Total</t>
  </si>
  <si>
    <t>1250010361.00</t>
  </si>
  <si>
    <t>1250003820.00</t>
  </si>
  <si>
    <t>GTM GET THINGS MOVING DISTRIBUTION INC. Total</t>
  </si>
  <si>
    <t>1250001434.00</t>
  </si>
  <si>
    <t>1250001628.00</t>
  </si>
  <si>
    <t>HAFELE PHILIPPINES INC. Total</t>
  </si>
  <si>
    <t>1200006583.00</t>
  </si>
  <si>
    <t>1250000535.00</t>
  </si>
  <si>
    <t>HAVEN UNITED DEV'T. CORPORATION Total</t>
  </si>
  <si>
    <t>1250003004.00</t>
  </si>
  <si>
    <t>1200008365.00</t>
  </si>
  <si>
    <t>HEAD CORPORATION Total</t>
  </si>
  <si>
    <t>1250009301.00</t>
  </si>
  <si>
    <t>1250000104.00</t>
  </si>
  <si>
    <t>HELPMATE INCORPORATED Total</t>
  </si>
  <si>
    <t>1200006187.00</t>
  </si>
  <si>
    <t>HI5 SOLUTIONS OPC Total</t>
  </si>
  <si>
    <t>1200008778.00</t>
  </si>
  <si>
    <t>IGACOS WATER DISTRICT Total</t>
  </si>
  <si>
    <t>1250010029.00</t>
  </si>
  <si>
    <t>INFIMAX HEALTH PRODUCTS Total</t>
  </si>
  <si>
    <t>1250003390.00</t>
  </si>
  <si>
    <t>1250010303.00</t>
  </si>
  <si>
    <t>INNOBUILDTEK DEVELOPMENT INC Total</t>
  </si>
  <si>
    <t>1250003100.00</t>
  </si>
  <si>
    <t>INSULAR OIL CORPORATION Total</t>
  </si>
  <si>
    <t>INSURANCE COMMISSION Total</t>
  </si>
  <si>
    <t>1250001755.00</t>
  </si>
  <si>
    <t>1250004611.00</t>
  </si>
  <si>
    <t>1250000094.00</t>
  </si>
  <si>
    <t>IVN ENTERPRISES Total</t>
  </si>
  <si>
    <t>1250003260.00</t>
  </si>
  <si>
    <t>JATHNIER CORPORATION Total</t>
  </si>
  <si>
    <t>1250004201.00</t>
  </si>
  <si>
    <t>1250000174.00</t>
  </si>
  <si>
    <t>JEWM AGRO-INDUSTRIAL CORPORATION Total</t>
  </si>
  <si>
    <t>JLP DESIGN Total</t>
  </si>
  <si>
    <t>KABACAN WATER DISTRICT Total</t>
  </si>
  <si>
    <t>1250002839.00</t>
  </si>
  <si>
    <t>1250010137.00</t>
  </si>
  <si>
    <t>KALINGAP PHARMACY Total</t>
  </si>
  <si>
    <t>KENNEMER FOODS INTERNATIONAL INC. Total</t>
  </si>
  <si>
    <t>KILOTRADE Total</t>
  </si>
  <si>
    <t>KIM GUAN TRADING CO. INC. Total</t>
  </si>
  <si>
    <t>1250009305.00</t>
  </si>
  <si>
    <t>LAND BANK - TORIL BRANCH Total</t>
  </si>
  <si>
    <t>LAND BANK OF THE PHILIPPINES - MATI BRANCH Total</t>
  </si>
  <si>
    <t>LAND BANK OF THE PHILS. - NABUNTURAN Total</t>
  </si>
  <si>
    <t>LAND BANK OF THE PHILS. - PANABO Total</t>
  </si>
  <si>
    <t>1250001513.00</t>
  </si>
  <si>
    <t>LAND BANK OF THE PHILS. - RAMON MAGSAYSAY Total</t>
  </si>
  <si>
    <t>LAND BANK OF THE PHILS.-BANSALAN BRANCH Total</t>
  </si>
  <si>
    <t>1250009984.00</t>
  </si>
  <si>
    <t>1250010330.00</t>
  </si>
  <si>
    <t>LICSAL CONSTRUCTION CORP. Total</t>
  </si>
  <si>
    <t>1250000191.00</t>
  </si>
  <si>
    <t>MABUHAY WAREHOUSE Total</t>
  </si>
  <si>
    <t>MALAYAN INSURANCE COMPANY INC. Total</t>
  </si>
  <si>
    <t>MARITIME INDUSTRY AUTHORITY Total</t>
  </si>
  <si>
    <t>1250003924.00</t>
  </si>
  <si>
    <t>MILLENNIUM SPECIALTY COCO PRODUCTSINC. Total</t>
  </si>
  <si>
    <t>MINDANAO KOKUSAI DAIGAKU Total</t>
  </si>
  <si>
    <t>1250001192.00</t>
  </si>
  <si>
    <t>MINES AND GEOSCIENCES BUREAU-RXI Total</t>
  </si>
  <si>
    <t>1250000103.00</t>
  </si>
  <si>
    <t>ML PREMIUM RESOURCES CORP. Total</t>
  </si>
  <si>
    <t>1250002480.00</t>
  </si>
  <si>
    <t>MOTORMALL DAVAO CORPORATION Total</t>
  </si>
  <si>
    <t>MUNICIPALITY OF KABACAN Total</t>
  </si>
  <si>
    <t>1200008893.00</t>
  </si>
  <si>
    <t>MUNICIPALITY OF LUPON - LGU Total</t>
  </si>
  <si>
    <t>NAKASHIN DAVAO INTERNATIONAL INC. Total</t>
  </si>
  <si>
    <t>1200007456.00</t>
  </si>
  <si>
    <t>1200008300.00</t>
  </si>
  <si>
    <t>NATIONAL CONCILIATION AND MEDIAT'N BOARD Total</t>
  </si>
  <si>
    <t>1250000077.00</t>
  </si>
  <si>
    <t>NATIONAL FOOD AUTHORITY - TAGUM Total</t>
  </si>
  <si>
    <t>1250000288.00</t>
  </si>
  <si>
    <t>NATIONAL POLICE COMMISSION Total</t>
  </si>
  <si>
    <t>1250001499.00</t>
  </si>
  <si>
    <t>1250010373.00</t>
  </si>
  <si>
    <t>NXTGEN TECHNOLOGIES INC Total</t>
  </si>
  <si>
    <t>1250000742.00</t>
  </si>
  <si>
    <t>1250001670.00</t>
  </si>
  <si>
    <t>PANORAMA SUMMIT HOTEL Total</t>
  </si>
  <si>
    <t>PHIL.FIBER INDUSTRY DEV'T AUTHORITY Total</t>
  </si>
  <si>
    <t>1250004426.00</t>
  </si>
  <si>
    <t>1250000452.00</t>
  </si>
  <si>
    <t>PHILIPPINE COCONUT AUTHORITY-REG.XI Total</t>
  </si>
  <si>
    <t>1250002755.00</t>
  </si>
  <si>
    <t>PHILIPS GLASS &amp; ALUMINUM SALES INC. Total</t>
  </si>
  <si>
    <t>1250009928.00</t>
  </si>
  <si>
    <t>PNJK INC Total</t>
  </si>
  <si>
    <t>1250001273.00</t>
  </si>
  <si>
    <t>RBGM MEDICAL EXPRESS SALES INC. Total</t>
  </si>
  <si>
    <t>REJOICE FAMILY FOODS Total</t>
  </si>
  <si>
    <t>RV BAYANIHAN LENDING Total</t>
  </si>
  <si>
    <t>SEADOVE MARITIME SERVICES INC. Total</t>
  </si>
  <si>
    <t>SF &amp; F TRUCKING SERVICES Total</t>
  </si>
  <si>
    <t>SHIMADZU PHILS. CORP Total</t>
  </si>
  <si>
    <t>SILANGAN MULTI-PURPOSE COOPERATIVE - BUHANGIN Total</t>
  </si>
  <si>
    <t>SIMC Total</t>
  </si>
  <si>
    <t>SOUTHERN HARVEST INCORPORATED Total</t>
  </si>
  <si>
    <t>SPAMAST Total</t>
  </si>
  <si>
    <t>STAR PAPER CORPORATION Total</t>
  </si>
  <si>
    <t>STENIEL MINDANAO PACKAGING CORPORATION Total</t>
  </si>
  <si>
    <t>STERLING BANK OF ASIA - BAJADA Total</t>
  </si>
  <si>
    <t>SUNFRESH AGRICULTURAL VENTURES INC. Total</t>
  </si>
  <si>
    <t>TRANSNATIONAL AVIATION SUPPORT SERVICES Total</t>
  </si>
  <si>
    <t>Columns</t>
  </si>
  <si>
    <t>TRINITAS FOOD CORP. Total</t>
  </si>
  <si>
    <t>Rows</t>
  </si>
  <si>
    <t>Values</t>
  </si>
  <si>
    <t>UNIVERSITY OF SOUTHEASTERN PHILS. Total</t>
  </si>
  <si>
    <t>UNIVERSITY OF SOUTHERN MINDANAO Total</t>
  </si>
  <si>
    <t>SUM of 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</si>
</sst>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&quot;/&quot;d&quot;/&quot;yy"/>
    <numFmt numFmtId="166" formatCode="_(&quot;$&quot;* #,##0.00_);_(&quot;$&quot;* \(#,##0.00\);_(&quot;$&quot;* &quot;-&quot;??_);_(@_)"/>
    <numFmt numFmtId="167" formatCode="m/d/yyyy h:mm:ss"/>
    <numFmt numFmtId="168" formatCode="[$₱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Monospac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1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0" xfId="0" applyAlignment="1" applyFont="1" applyNumberFormat="1">
      <alignment horizontal="center" readingOrder="0"/>
    </xf>
    <xf borderId="0" fillId="0" fontId="1" numFmtId="1" xfId="0" applyFont="1" applyNumberForma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 vertical="bottom"/>
    </xf>
    <xf borderId="0" fillId="0" fontId="1" numFmtId="4" xfId="0" applyAlignment="1" applyFont="1" applyNumberFormat="1">
      <alignment horizontal="center" readingOrder="0"/>
    </xf>
    <xf borderId="0" fillId="0" fontId="1" numFmtId="164" xfId="0" applyFont="1" applyNumberFormat="1"/>
    <xf borderId="0" fillId="0" fontId="1" numFmtId="10" xfId="0" applyFont="1" applyNumberFormat="1"/>
    <xf borderId="0" fillId="0" fontId="1" numFmtId="4" xfId="0" applyFont="1" applyNumberFormat="1"/>
    <xf borderId="0" fillId="0" fontId="1" numFmtId="11" xfId="0" applyFont="1" applyNumberFormat="1"/>
    <xf borderId="0" fillId="0" fontId="1" numFmtId="2" xfId="0" applyFont="1" applyNumberFormat="1"/>
    <xf borderId="0" fillId="0" fontId="2" numFmtId="0" xfId="0" applyAlignment="1" applyFon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1" numFmtId="0" xfId="0" applyFont="1"/>
    <xf borderId="0" fillId="0" fontId="1" numFmtId="167" xfId="0" applyFont="1" applyNumberFormat="1"/>
    <xf borderId="0" fillId="0" fontId="1" numFmtId="2" xfId="0" applyFont="1" applyNumberFormat="1"/>
    <xf borderId="0" fillId="0" fontId="1" numFmtId="0" xfId="0" applyAlignment="1" applyFont="1">
      <alignment horizontal="right" readingOrder="0"/>
    </xf>
    <xf borderId="0" fillId="0" fontId="1" numFmtId="168" xfId="0" applyFont="1" applyNumberFormat="1"/>
    <xf borderId="0" fillId="0" fontId="1" numFmtId="0" xfId="0" applyAlignment="1" applyFont="1">
      <alignment horizontal="center"/>
    </xf>
    <xf borderId="0" fillId="0" fontId="2" numFmtId="2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Font="1"/>
    <xf borderId="0" fillId="0" fontId="1" numFmtId="49" xfId="0" applyFont="1" applyNumberFormat="1"/>
    <xf borderId="0" fillId="0" fontId="1" numFmtId="166" xfId="0" applyFont="1" applyNumberFormat="1"/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John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hnreyexc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CUSTOMER TRANSACTIONS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'Copy of John 1'!$V$1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'Copy of John 1'!$U$2:$U$6</c:f>
            </c:strRef>
          </c:cat>
          <c:val>
            <c:numRef>
              <c:f>'Copy of John 1'!$V$2:$V$6</c:f>
              <c:numCache/>
            </c:numRef>
          </c:val>
        </c:ser>
        <c:axId val="646257094"/>
        <c:axId val="1469563161"/>
      </c:barChart>
      <c:catAx>
        <c:axId val="646257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563161"/>
      </c:catAx>
      <c:valAx>
        <c:axId val="1469563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257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Big spenders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'Copy of John 1'!$S$1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'Copy of John 1'!$R$2:$R$8</c:f>
            </c:strRef>
          </c:cat>
          <c:val>
            <c:numRef>
              <c:f>'Copy of John 1'!$S$2:$S$8</c:f>
              <c:numCache/>
            </c:numRef>
          </c:val>
        </c:ser>
        <c:axId val="1632966861"/>
        <c:axId val="452334874"/>
      </c:barChart>
      <c:catAx>
        <c:axId val="1632966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334874"/>
      </c:catAx>
      <c:valAx>
        <c:axId val="452334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2966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Amount Generated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'Copy of John 1'!$P$147:$P$149</c:f>
            </c:strRef>
          </c:cat>
          <c:val>
            <c:numRef>
              <c:f>'Copy of John 1'!$Q$147:$Q$149</c:f>
              <c:numCache/>
            </c:numRef>
          </c:val>
        </c:ser>
        <c:axId val="51924036"/>
        <c:axId val="1384979251"/>
      </c:barChart>
      <c:catAx>
        <c:axId val="51924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979251"/>
      </c:catAx>
      <c:valAx>
        <c:axId val="1384979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240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transactions per customer - january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'Copy of John 1'!$AU$10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'Copy of John 1'!$AT$11:$AT$15</c:f>
            </c:strRef>
          </c:cat>
          <c:val>
            <c:numRef>
              <c:f>'Copy of John 1'!$AU$11:$AU$15</c:f>
              <c:numCache/>
            </c:numRef>
          </c:val>
        </c:ser>
        <c:axId val="1246706127"/>
        <c:axId val="1635559955"/>
      </c:barChart>
      <c:catAx>
        <c:axId val="1246706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559955"/>
      </c:catAx>
      <c:valAx>
        <c:axId val="1635559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706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transactions per customer - february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'Copy of John 1'!$AU$18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'Copy of John 1'!$AT$19:$AT$23</c:f>
            </c:strRef>
          </c:cat>
          <c:val>
            <c:numRef>
              <c:f>'Copy of John 1'!$AU$19:$AU$23</c:f>
              <c:numCache/>
            </c:numRef>
          </c:val>
        </c:ser>
        <c:axId val="1884290378"/>
        <c:axId val="1612591555"/>
      </c:barChart>
      <c:catAx>
        <c:axId val="1884290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591555"/>
      </c:catAx>
      <c:valAx>
        <c:axId val="1612591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4290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 of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val>
            <c:numRef>
              <c:f>'Copy of John 1'!$H$125:$H$236</c:f>
              <c:numCache/>
            </c:numRef>
          </c:val>
        </c:ser>
        <c:ser>
          <c:idx val="1"/>
          <c:order val="1"/>
          <c:val>
            <c:numRef>
              <c:f>'Copy of John 1'!$I$125:$I$236</c:f>
              <c:numCache/>
            </c:numRef>
          </c:val>
        </c:ser>
        <c:axId val="373357870"/>
        <c:axId val="1891665378"/>
      </c:barChart>
      <c:catAx>
        <c:axId val="3733578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665378"/>
      </c:catAx>
      <c:valAx>
        <c:axId val="1891665378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3733578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Anoount Generated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'Copy of John 1'!$P$147:$P$149</c:f>
            </c:strRef>
          </c:cat>
          <c:val>
            <c:numRef>
              <c:f>'Copy of John 1'!$Q$147:$Q$149</c:f>
              <c:numCache/>
            </c:numRef>
          </c:val>
        </c:ser>
        <c:axId val="1361843102"/>
        <c:axId val="65966997"/>
      </c:barChart>
      <c:catAx>
        <c:axId val="1361843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66997"/>
      </c:catAx>
      <c:valAx>
        <c:axId val="65966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843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OrderTotal vs. CustomerName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'Copy of John 1'!$S$1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'Copy of John 1'!$R$2:$R$8</c:f>
            </c:strRef>
          </c:cat>
          <c:val>
            <c:numRef>
              <c:f>'Copy of John 1'!$S$2:$S$8</c:f>
              <c:numCache/>
            </c:numRef>
          </c:val>
        </c:ser>
        <c:axId val="926977"/>
        <c:axId val="555192306"/>
      </c:barChart>
      <c:catAx>
        <c:axId val="926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192306"/>
      </c:catAx>
      <c:valAx>
        <c:axId val="555192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9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OrderTotal vs. CustomerName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'Copy of John 1'!$V$1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'Copy of John 1'!$U$2:$U$6</c:f>
            </c:strRef>
          </c:cat>
          <c:val>
            <c:numRef>
              <c:f>'Copy of John 1'!$V$2:$V$6</c:f>
              <c:numCache/>
            </c:numRef>
          </c:val>
        </c:ser>
        <c:axId val="1503725387"/>
        <c:axId val="1070127489"/>
      </c:barChart>
      <c:catAx>
        <c:axId val="1503725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127489"/>
      </c:catAx>
      <c:valAx>
        <c:axId val="1070127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725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 of SUM of OrderTotal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'Copy of John 1'!$P$1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  <c:spPr>
              <a:solidFill>
                <a:srgbClr val="891525"/>
              </a:solidFill>
            </c:spPr>
          </c:dPt>
          <c:dPt>
            <c:idx val="88"/>
            <c:spPr>
              <a:solidFill>
                <a:srgbClr val="FFD22C"/>
              </a:solidFill>
            </c:spPr>
          </c:dPt>
          <c:dPt>
            <c:idx val="89"/>
            <c:spPr>
              <a:solidFill>
                <a:srgbClr val="4FD2B5"/>
              </a:solidFill>
            </c:spPr>
          </c:dPt>
          <c:dPt>
            <c:idx val="90"/>
            <c:spPr>
              <a:solidFill>
                <a:srgbClr val="95AA26"/>
              </a:solidFill>
            </c:spPr>
          </c:dPt>
          <c:dPt>
            <c:idx val="91"/>
            <c:spPr>
              <a:solidFill>
                <a:srgbClr val="4991C2"/>
              </a:solidFill>
            </c:spPr>
          </c:dPt>
          <c:dPt>
            <c:idx val="92"/>
            <c:spPr>
              <a:solidFill>
                <a:srgbClr val="0DEA6E"/>
              </a:solidFill>
            </c:spPr>
          </c:dPt>
          <c:dPt>
            <c:idx val="93"/>
            <c:spPr>
              <a:solidFill>
                <a:srgbClr val="C63059"/>
              </a:solidFill>
            </c:spPr>
          </c:dPt>
          <c:dPt>
            <c:idx val="94"/>
            <c:spPr>
              <a:solidFill>
                <a:srgbClr val="FFFE78"/>
              </a:solidFill>
            </c:spPr>
          </c:dPt>
          <c:dPt>
            <c:idx val="95"/>
            <c:spPr>
              <a:solidFill>
                <a:srgbClr val="87E6C7"/>
              </a:solidFill>
            </c:spPr>
          </c:dPt>
          <c:dPt>
            <c:idx val="96"/>
            <c:spPr>
              <a:solidFill>
                <a:srgbClr val="CDCF29"/>
              </a:solidFill>
            </c:spPr>
          </c:dPt>
          <c:dPt>
            <c:idx val="97"/>
            <c:spPr>
              <a:solidFill>
                <a:srgbClr val="4FC9FF"/>
              </a:solidFill>
            </c:spPr>
          </c:dPt>
          <c:dPt>
            <c:idx val="98"/>
            <c:spPr>
              <a:solidFill>
                <a:srgbClr val="0EFEB9"/>
              </a:solidFill>
            </c:spPr>
          </c:dPt>
          <c:dPt>
            <c:idx val="99"/>
            <c:spPr>
              <a:solidFill>
                <a:srgbClr val="024A8D"/>
              </a:solidFill>
            </c:spPr>
          </c:dPt>
          <c:dPt>
            <c:idx val="100"/>
            <c:spPr>
              <a:solidFill>
                <a:srgbClr val="FF2AC4"/>
              </a:solidFill>
            </c:spPr>
          </c:dPt>
          <c:dPt>
            <c:idx val="101"/>
            <c:spPr>
              <a:solidFill>
                <a:srgbClr val="BEFAD8"/>
              </a:solidFill>
            </c:spPr>
          </c:dPt>
          <c:dPt>
            <c:idx val="102"/>
            <c:spPr>
              <a:solidFill>
                <a:srgbClr val="06F32C"/>
              </a:solidFill>
            </c:spPr>
          </c:dPt>
          <c:dPt>
            <c:idx val="103"/>
            <c:spPr>
              <a:solidFill>
                <a:srgbClr val="55023B"/>
              </a:solidFill>
            </c:spPr>
          </c:dPt>
          <c:dPt>
            <c:idx val="104"/>
            <c:spPr>
              <a:solidFill>
                <a:srgbClr val="0F1204"/>
              </a:solidFill>
            </c:spPr>
          </c:dPt>
          <c:dPt>
            <c:idx val="105"/>
            <c:spPr>
              <a:solidFill>
                <a:srgbClr val="3F64C0"/>
              </a:solidFill>
            </c:spPr>
          </c:dPt>
          <c:dPt>
            <c:idx val="106"/>
            <c:spPr>
              <a:solidFill>
                <a:srgbClr val="FF5610"/>
              </a:solidFill>
            </c:spPr>
          </c:dPt>
          <c:dPt>
            <c:idx val="107"/>
            <c:spPr>
              <a:solidFill>
                <a:srgbClr val="F60EE9"/>
              </a:solidFill>
            </c:spPr>
          </c:dPt>
          <c:dPt>
            <c:idx val="108"/>
            <c:spPr>
              <a:solidFill>
                <a:srgbClr val="3F182F"/>
              </a:solidFill>
            </c:spPr>
          </c:dPt>
          <c:dPt>
            <c:idx val="109"/>
            <c:spPr>
              <a:solidFill>
                <a:srgbClr val="5B3A78"/>
              </a:solidFill>
            </c:spPr>
          </c:dPt>
          <c:dPt>
            <c:idx val="110"/>
            <c:spPr>
              <a:solidFill>
                <a:srgbClr val="11264F"/>
              </a:solidFill>
            </c:spPr>
          </c:dPt>
          <c:dPt>
            <c:idx val="111"/>
            <c:spPr>
              <a:solidFill>
                <a:srgbClr val="7C7E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'Copy of John 1'!$O$2:$O$113</c:f>
            </c:strRef>
          </c:cat>
          <c:val>
            <c:numRef>
              <c:f>'Copy of John 1'!$P$2:$P$113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OrderTotal vs. CustomerName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'Copy of John 1'!$AU$10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'Copy of John 1'!$AT$11:$AT$15</c:f>
            </c:strRef>
          </c:cat>
          <c:val>
            <c:numRef>
              <c:f>'Copy of John 1'!$AU$11:$AU$15</c:f>
              <c:numCache/>
            </c:numRef>
          </c:val>
        </c:ser>
        <c:axId val="1234821033"/>
        <c:axId val="1805807570"/>
      </c:barChart>
      <c:catAx>
        <c:axId val="1234821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807570"/>
      </c:catAx>
      <c:valAx>
        <c:axId val="1805807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8210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OrderTotal vs. CustomerName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'Copy of John 1'!$AU$18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'Copy of John 1'!$AT$19:$AT$23</c:f>
            </c:strRef>
          </c:cat>
          <c:val>
            <c:numRef>
              <c:f>'Copy of John 1'!$AU$19:$AU$23</c:f>
              <c:numCache/>
            </c:numRef>
          </c:val>
        </c:ser>
        <c:axId val="652300085"/>
        <c:axId val="2138659817"/>
      </c:barChart>
      <c:catAx>
        <c:axId val="652300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659817"/>
      </c:catAx>
      <c:valAx>
        <c:axId val="2138659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300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3</xdr:row>
      <xdr:rowOff>9525</xdr:rowOff>
    </xdr:from>
    <xdr:ext cx="73818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3</xdr:row>
      <xdr:rowOff>9525</xdr:rowOff>
    </xdr:from>
    <xdr:ext cx="77819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809625</xdr:colOff>
      <xdr:row>3</xdr:row>
      <xdr:rowOff>180975</xdr:rowOff>
    </xdr:from>
    <xdr:ext cx="7781925" cy="3629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200025</xdr:colOff>
      <xdr:row>25</xdr:row>
      <xdr:rowOff>180975</xdr:rowOff>
    </xdr:from>
    <xdr:ext cx="829627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476250</xdr:colOff>
      <xdr:row>25</xdr:row>
      <xdr:rowOff>180975</xdr:rowOff>
    </xdr:from>
    <xdr:ext cx="76485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204</xdr:row>
      <xdr:rowOff>85725</xdr:rowOff>
    </xdr:from>
    <xdr:ext cx="8934450" cy="55245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466725</xdr:colOff>
      <xdr:row>40</xdr:row>
      <xdr:rowOff>28575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466725</xdr:colOff>
      <xdr:row>20</xdr:row>
      <xdr:rowOff>19050</xdr:rowOff>
    </xdr:from>
    <xdr:ext cx="7781925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66675</xdr:colOff>
      <xdr:row>22</xdr:row>
      <xdr:rowOff>152400</xdr:rowOff>
    </xdr:from>
    <xdr:ext cx="7381875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876300</xdr:colOff>
      <xdr:row>2</xdr:row>
      <xdr:rowOff>19050</xdr:rowOff>
    </xdr:from>
    <xdr:ext cx="8296275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49</xdr:col>
      <xdr:colOff>76200</xdr:colOff>
      <xdr:row>25</xdr:row>
      <xdr:rowOff>66675</xdr:rowOff>
    </xdr:from>
    <xdr:ext cx="8296275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49</xdr:col>
      <xdr:colOff>38100</xdr:colOff>
      <xdr:row>4</xdr:row>
      <xdr:rowOff>47625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0</xdr:row>
      <xdr:rowOff>180975</xdr:rowOff>
    </xdr:from>
    <xdr:ext cx="5715000" cy="3533775"/>
    <xdr:pic>
      <xdr:nvPicPr>
        <xdr:cNvPr id="1402582764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L2:M201" sheet="Copy of John 1"/>
  </cacheSource>
  <cacheFields>
    <cacheField name="November" numFmtId="0">
      <sharedItems>
        <s v="January"/>
        <s v="February"/>
      </sharedItems>
    </cacheField>
    <cacheField name="4,372.25" numFmtId="4">
      <sharedItems containsSemiMixedTypes="0" containsString="0" containsNumber="1">
        <n v="1362.0"/>
        <n v="1500.0"/>
        <n v="4372.25"/>
        <n v="2148.8"/>
        <n v="2365.8"/>
        <n v="2367.5"/>
        <n v="38256.0"/>
        <n v="1600.0"/>
        <n v="4762.1"/>
        <n v="5265.0"/>
        <n v="51900.0"/>
        <n v="2060.0"/>
        <n v="4097.5"/>
        <n v="6230.0"/>
        <n v="44970.0"/>
        <n v="525.3"/>
        <n v="2265.45"/>
        <n v="3256.0"/>
        <n v="4400.6"/>
        <n v="8254.15"/>
        <n v="111000.0"/>
        <n v="765.0"/>
        <n v="1525.0"/>
        <n v="2050.0"/>
        <n v="3571.75"/>
        <n v="5151.0"/>
        <n v="7885.3"/>
        <n v="10250.5"/>
        <n v="16973.25"/>
        <n v="1154.0"/>
        <n v="3031.5"/>
        <n v="4490.4"/>
        <n v="10550.0"/>
        <n v="744.0"/>
        <n v="1873.1"/>
        <n v="1995.5"/>
        <n v="2113.6"/>
        <n v="4800.0"/>
        <n v="711.0"/>
        <n v="1289.35"/>
        <n v="1806.0"/>
        <n v="3700.8"/>
        <n v="3720.0"/>
        <n v="5500.0"/>
        <n v="15998.0"/>
        <n v="324.0"/>
        <n v="569.8"/>
        <n v="1172.0"/>
        <n v="2526.5"/>
        <n v="2759.8"/>
        <n v="3290.0"/>
        <n v="3818.7"/>
        <n v="4312.0"/>
        <n v="773.0"/>
        <n v="2586.0"/>
        <n v="3382.85"/>
        <n v="4384.5"/>
        <n v="5596.0"/>
        <n v="3488.5"/>
        <n v="5588.5"/>
        <n v="28093.6"/>
        <n v="1762.0"/>
        <n v="4819.0"/>
        <n v="779.25"/>
        <n v="1710.3"/>
        <n v="2200.0"/>
        <n v="3251.0"/>
        <n v="10168.0"/>
        <n v="10316.4"/>
        <n v="21920.0"/>
        <n v="27978.0"/>
        <n v="240.0"/>
        <n v="799.0"/>
        <n v="1316.0"/>
        <n v="2122.0"/>
        <n v="2485.85"/>
        <n v="7782.5"/>
        <n v="13562.7"/>
        <n v="16200.0"/>
        <n v="33650.0"/>
        <n v="47250.0"/>
        <n v="105000.0"/>
        <n v="1048.0"/>
        <n v="1100.0"/>
        <n v="1686.0"/>
        <n v="4562.0"/>
        <n v="4700.0"/>
        <n v="11901.4"/>
        <n v="12300.0"/>
        <n v="13000.0"/>
        <n v="16466.0"/>
        <n v="18387.75"/>
        <n v="966.0"/>
        <n v="19060.5"/>
        <n v="1099.0"/>
        <n v="3280.0"/>
        <n v="5900.0"/>
        <n v="10831.5"/>
        <n v="903.92"/>
        <n v="1804.0"/>
        <n v="7650.0"/>
        <n v="8128.0"/>
        <n v="17417.0"/>
        <n v="22725.0"/>
        <n v="45360.0"/>
        <n v="990.0"/>
        <n v="3305.0"/>
        <n v="4807.0"/>
        <n v="5732.0"/>
        <n v="10990.0"/>
        <n v="4236.55"/>
        <n v="7140.0"/>
        <n v="365925.0"/>
        <n v="227.0"/>
        <n v="1537.2"/>
        <n v="3157.0"/>
        <n v="6180.5"/>
        <n v="12195.8"/>
        <n v="1080.0"/>
        <n v="20494.75"/>
        <n v="50228.0"/>
        <n v="1292.3"/>
        <n v="1305.0"/>
        <n v="14750.0"/>
        <n v="1700.0"/>
        <n v="2196.0"/>
        <n v="2404.5"/>
        <n v="2850.0"/>
        <n v="4977.0"/>
        <n v="5300.0"/>
        <n v="5969.1"/>
        <n v="7059.0"/>
        <n v="7705.0"/>
        <n v="8646.0"/>
        <n v="10050.0"/>
        <n v="14655.1"/>
        <n v="14702.8"/>
        <n v="14995.5"/>
        <n v="15202.0"/>
        <n v="23146.0"/>
        <n v="31373.2"/>
        <n v="39347.3"/>
        <n v="40765.4"/>
        <n v="45642.5"/>
        <n v="147021.0"/>
        <n v="2915.5"/>
        <n v="5250.0"/>
        <n v="6552.0"/>
        <n v="16238.7"/>
        <n v="16789.55"/>
        <n v="17687.6"/>
        <n v="98228.4"/>
        <n v="3130.45"/>
        <n v="3354.0"/>
        <n v="10368.8"/>
        <n v="1800.0"/>
        <n v="2475.25"/>
        <n v="4490.2"/>
        <n v="7750.0"/>
        <n v="8686.0"/>
        <n v="8779.0"/>
        <n v="3804.0"/>
        <n v="4956.0"/>
        <n v="20035.4"/>
        <n v="103307.5"/>
        <n v="3557.0"/>
        <n v="4209.5"/>
        <n v="5826.66"/>
        <n v="10488.7"/>
        <n v="11124.5"/>
        <n v="15375.2"/>
        <n v="25268.0"/>
        <n v="432.5"/>
        <n v="543.9"/>
        <n v="2485.0"/>
        <n v="2950.0"/>
        <n v="3000.0"/>
        <n v="4522.0"/>
        <n v="10140.0"/>
        <n v="10450.0"/>
        <n v="34720.0"/>
        <n v="640.5"/>
        <n v="900.0"/>
        <n v="8040.0"/>
        <n v="10629.75"/>
        <n v="11281.0"/>
        <n v="26720.0"/>
        <n v="29710.0"/>
        <n v="440.0"/>
        <n v="12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E1000" sheet="Copy of John 1"/>
  </cacheSource>
  <cacheFields>
    <cacheField name="CustomerName" numFmtId="0">
      <sharedItems containsBlank="1">
        <s v="CITY GOVERNMENT OF DAVAO"/>
        <s v="STAR PAPER CORPORATION"/>
        <s v="STENIEL MINDANAO PACKAGING CORPORATION"/>
        <s v="COMFAC CORPORATION"/>
        <s v="NXTGEN TECHNOLOGIES INC"/>
        <s v="INFIMAX HEALTH PRODUCTS"/>
        <s v="DEPT. OF HUMAN SETTLEMENTS &amp; URBAN DEV'T"/>
        <s v="PHIL.FIBER INDUSTRY DEV'T AUTHORITY"/>
        <s v="HI5 SOLUTIONS OPC"/>
        <s v="B.P.I. - BAJADA (FRONTING CONPINCO)"/>
        <s v="INSULAR OIL CORPORATION"/>
        <s v="LAND BANK OF THE PHILS. - NABUNTURAN"/>
        <s v="IVN ENTERPRISES"/>
        <s v="KIM GUAN TRADING CO. INC."/>
        <s v="SPAMAST"/>
        <s v="ANTONIO'S GRILL"/>
        <s v="FAR EAST ASSOCIATES"/>
        <s v="LAND BANK - TORIL BRANCH"/>
        <s v="SIMC"/>
        <s v="HELPMATE INCORPORATED"/>
        <s v="EHB ENTERPRISES &amp; PRINTHAUS"/>
        <s v="ML PREMIUM RESOURCES CORP."/>
        <s v="ARM-G  INT'L. LOGISTIC INC."/>
        <s v="ASTROBUILT CONSTRUCTION &amp; DEVELOPMENT"/>
        <s v="EC GONZAGA ENTERPRISES"/>
        <s v="EQUINOX SYNERGY OPC"/>
        <s v="BANEXCO TRADERS INC."/>
        <s v="LAND BANK OF THE PHILS. - RAMON MAGSAYSAY"/>
        <s v="EZGAB CORPORATION"/>
        <s v="FOCUSINC GROUP CORP."/>
        <s v="CIVIL SERVICE COMMISSION-REG. XI"/>
        <s v="NAKASHIN DAVAO INTERNATIONAL INC."/>
        <s v="PNJK INC"/>
        <s v="B.P.I. -  HOUSING LOAN"/>
        <s v="LICSAL CONSTRUCTION CORP."/>
        <s v="REJOICE FAMILY FOODS"/>
        <s v="AGRI DAVAO INCORPORATED"/>
        <s v="CHARVERSON WOOD INDUSTRY INC."/>
        <s v="DAVAO CONCRETE POLES CORPORATION"/>
        <s v="KALINGAP PHARMACY"/>
        <s v="SILANGAN MULTI-PURPOSE COOPERATIVE - BUHANGIN"/>
        <s v="EAST WEST BANK - BAJADA  2FLR."/>
        <s v="TRINITAS FOOD CORP."/>
        <s v="MOTORMALL DAVAO CORPORATION"/>
        <s v="GREENKREATIONS INC."/>
        <s v="INNOBUILDTEK DEVELOPMENT INC"/>
        <s v="SUNFRESH AGRICULTURAL VENTURES INC."/>
        <s v="PHILIPS GLASS &amp; ALUMINUM SALES INC."/>
        <s v="AKTIV MULTI TRADING CO. PHILS. INC."/>
        <s v="KILOTRADE"/>
        <s v="SEADOVE MARITIME SERVICES INC."/>
        <s v="RBGM MEDICAL EXPRESS SALES INC."/>
        <s v="DEPT. OF TRADE &amp; INDUSTRY- RO-11"/>
        <s v="FIESTA  APPLIANCE CENTER INC."/>
        <s v="PHILIPPINE COCONUT AUTHORITY-REG.XI"/>
        <s v="GTM GET THINGS MOVING DISTRIBUTION INC."/>
        <s v="EAST WEST BANK - DAVAO AGDAO BRANCH"/>
        <s v="LAND BANK OF THE PHILIPPINES - MATI BRANCH"/>
        <s v="MALAYAN INSURANCE COMPANY INC."/>
        <s v="NATIONAL POLICE COMMISSION"/>
        <s v="DEPARTMENT OF TOURISM"/>
        <s v="JATHNIER CORPORATION"/>
        <s v="LAND BANK OF THE PHILS.-BANSALAN BRANCH"/>
        <s v="B.P.I. - LANANG"/>
        <s v="HAFELE PHILIPPINES INC."/>
        <s v="JLP DESIGN"/>
        <s v="GOLDEN BALES CORPORATION"/>
        <s v="DIGOS WATER DISTRICT"/>
        <s v="EAST WEST BANK"/>
        <s v="DAVAO FIBREBOARD PACKAGING PLANT INC."/>
        <s v="JEWM AGRO-INDUSTRIAL CORPORATION"/>
        <s v="MINDANAO KOKUSAI DAIGAKU"/>
        <s v="STERLING BANK OF ASIA - BAJADA"/>
        <s v="FELY M. MORATA CUSTOM BROKERAGE SERVICES"/>
        <s v="UNIVERSITY OF SOUTHEASTERN PHILS."/>
        <s v="INSURANCE COMMISSION"/>
        <s v="RV BAYANIHAN LENDING"/>
        <s v="PANORAMA SUMMIT HOTEL"/>
        <s v="ASIAGLOBAL TECHNOLOGIES INC."/>
        <s v="AMERICARES FOUNDATION INC."/>
        <s v="AFP &amp; POLICE SAVINGS LOAN ASSN (AFPSLAI)"/>
        <s v="HEAD CORPORATION"/>
        <s v="IGACOS WATER DISTRICT"/>
        <s v="UNIVERSITY OF SOUTHERN MINDANAO"/>
        <s v="HAVEN UNITED DEV'T. CORPORATION"/>
        <s v="KABACAN WATER DISTRICT"/>
        <s v="DAVAO GENERAL HARDWARE COMPANY"/>
        <s v="MUNICIPALITY OF LUPON - LGU"/>
        <s v="KENNEMER FOODS INTERNATIONAL INC."/>
        <s v="F.S. DIZON &amp; SONS INC."/>
        <s v="MINES AND GEOSCIENCES BUREAU-RXI"/>
        <s v="SOUTHERN HARVEST INCORPORATED"/>
        <s v="TRANSNATIONAL AVIATION SUPPORT SERVICES"/>
        <s v="NATIONAL CONCILIATION AND MEDIAT'N BOARD"/>
        <s v="AUTOKID SOUTH MINDANAO CORP."/>
        <s v="DEPARTMENT OF BUDGET &amp; MANAGEMENT"/>
        <s v="COMMISSION ON AUDIT"/>
        <s v="AMESCO DRUG CORPORATION"/>
        <s v="CONSULATE GENERAL OF JAPAN"/>
        <s v="NATIONAL FOOD AUTHORITY - TAGUM"/>
        <s v="AMALGATED CAPITAL INCORPORATED"/>
        <s v="MUNICIPALITY OF KABACAN"/>
        <s v="ASSUMPTION COLLEGE OF DAVAO INC"/>
        <s v="SF &amp; F TRUCKING SERVICES"/>
        <s v="DEPARTMENT OF SOCIAL WELFARE &amp; DEVT"/>
        <s v="MABUHAY WAREHOUSE"/>
        <s v="CHEVRON PHILIPPINES INC. (FORMER CALTEX)"/>
        <s v="SHIMADZU PHILS. CORP"/>
        <s v="MARITIME INDUSTRY AUTHORITY"/>
        <s v="LAND BANK OF THE PHILS. - PANABO"/>
        <s v="DAVAO EYEMDS LASER AND SURGERY CENTER"/>
        <s v="MILLENNIUM SPECIALTY COCO PRODUCTSINC."/>
        <m/>
      </sharedItems>
    </cacheField>
    <cacheField name="Date" numFmtId="164">
      <sharedItems containsDate="1" containsString="0" containsBlank="1">
        <d v="2023-11-20T00:00:00Z"/>
        <d v="2024-01-03T00:00:00Z"/>
        <d v="2024-01-04T00:00:00Z"/>
        <d v="2024-01-05T00:00:00Z"/>
        <d v="2024-01-08T00:00:00Z"/>
        <d v="2024-01-09T00:00:00Z"/>
        <d v="2024-01-10T00:00:00Z"/>
        <d v="2024-01-11T00:00:00Z"/>
        <d v="2024-01-12T00:00:00Z"/>
        <d v="2024-01-13T00:00:00Z"/>
        <d v="2024-01-15T00:00:00Z"/>
        <d v="2024-01-16T00:00:00Z"/>
        <d v="2024-01-17T00:00:00Z"/>
        <d v="2024-01-18T00:00:00Z"/>
        <d v="2024-01-19T00:00:00Z"/>
        <d v="2024-01-22T00:00:00Z"/>
        <d v="2024-01-23T00:00:00Z"/>
        <d v="2024-01-24T00:00:00Z"/>
        <d v="2024-01-25T00:00:00Z"/>
        <d v="2024-01-26T00:00:00Z"/>
        <d v="2024-01-27T00:00:00Z"/>
        <d v="2024-01-29T00:00:00Z"/>
        <d v="2024-01-30T00:00:00Z"/>
        <d v="2024-01-31T00:00:00Z"/>
        <d v="2024-02-01T00:00:00Z"/>
        <d v="2024-02-02T00:00:00Z"/>
        <d v="2024-02-03T00:00:00Z"/>
        <d v="2024-02-05T00:00:00Z"/>
        <d v="2024-02-06T00:00:00Z"/>
        <d v="2024-02-07T00:00:00Z"/>
        <d v="2024-02-08T00:00:00Z"/>
        <d v="2024-02-09T00:00:00Z"/>
        <d v="2024-02-12T00:00:00Z"/>
        <d v="2024-02-13T00:00:00Z"/>
        <d v="2024-02-14T00:00:00Z"/>
        <d v="2024-02-15T00:00:00Z"/>
        <m/>
      </sharedItems>
    </cacheField>
    <cacheField name="OrderTotal" numFmtId="4">
      <sharedItems containsString="0" containsBlank="1" containsNumber="1">
        <n v="4372.25"/>
        <n v="1362.0"/>
        <n v="1500.0"/>
        <n v="2148.8"/>
        <n v="2365.8"/>
        <n v="2367.5"/>
        <n v="38256.0"/>
        <n v="1600.0"/>
        <n v="4762.1"/>
        <n v="5265.0"/>
        <n v="51900.0"/>
        <n v="2060.0"/>
        <n v="4097.5"/>
        <n v="6230.0"/>
        <n v="44970.0"/>
        <n v="525.3"/>
        <n v="2265.45"/>
        <n v="3256.0"/>
        <n v="4400.6"/>
        <n v="8254.15"/>
        <n v="111000.0"/>
        <n v="765.0"/>
        <n v="1525.0"/>
        <n v="2050.0"/>
        <n v="3571.75"/>
        <n v="5151.0"/>
        <n v="7885.3"/>
        <n v="10250.5"/>
        <n v="16973.25"/>
        <n v="1154.0"/>
        <n v="3031.5"/>
        <n v="4490.4"/>
        <n v="10550.0"/>
        <n v="744.0"/>
        <n v="1873.1"/>
        <n v="1995.5"/>
        <n v="2113.6"/>
        <n v="4800.0"/>
        <n v="711.0"/>
        <n v="1289.35"/>
        <n v="1806.0"/>
        <n v="3700.8"/>
        <n v="3720.0"/>
        <n v="5500.0"/>
        <n v="15998.0"/>
        <n v="324.0"/>
        <n v="569.8"/>
        <n v="1172.0"/>
        <n v="2526.5"/>
        <n v="2759.8"/>
        <n v="3290.0"/>
        <n v="3818.7"/>
        <n v="4312.0"/>
        <n v="773.0"/>
        <n v="2586.0"/>
        <n v="3382.85"/>
        <n v="4384.5"/>
        <n v="5596.0"/>
        <n v="3488.5"/>
        <n v="5588.5"/>
        <n v="28093.6"/>
        <n v="1762.0"/>
        <n v="4819.0"/>
        <n v="779.25"/>
        <n v="1710.3"/>
        <n v="2200.0"/>
        <n v="3251.0"/>
        <n v="10168.0"/>
        <n v="10316.4"/>
        <n v="21920.0"/>
        <n v="27978.0"/>
        <n v="240.0"/>
        <n v="799.0"/>
        <n v="1316.0"/>
        <n v="2122.0"/>
        <n v="2485.85"/>
        <n v="7782.5"/>
        <n v="13562.7"/>
        <n v="16200.0"/>
        <n v="33650.0"/>
        <n v="47250.0"/>
        <n v="105000.0"/>
        <n v="1048.0"/>
        <n v="1100.0"/>
        <n v="1686.0"/>
        <n v="4562.0"/>
        <n v="4700.0"/>
        <n v="11901.4"/>
        <n v="12300.0"/>
        <n v="13000.0"/>
        <n v="16466.0"/>
        <n v="18387.75"/>
        <n v="966.0"/>
        <n v="19060.5"/>
        <n v="1099.0"/>
        <n v="3280.0"/>
        <n v="5900.0"/>
        <n v="10831.5"/>
        <n v="903.92"/>
        <n v="1804.0"/>
        <n v="7650.0"/>
        <n v="8128.0"/>
        <n v="17417.0"/>
        <n v="22725.0"/>
        <n v="45360.0"/>
        <n v="990.0"/>
        <n v="3305.0"/>
        <n v="4807.0"/>
        <n v="5732.0"/>
        <n v="10990.0"/>
        <n v="4236.55"/>
        <n v="7140.0"/>
        <n v="365925.0"/>
        <n v="227.0"/>
        <n v="1537.2"/>
        <n v="3157.0"/>
        <n v="6180.5"/>
        <n v="12195.8"/>
        <n v="1080.0"/>
        <n v="20494.75"/>
        <n v="50228.0"/>
        <n v="1292.3"/>
        <n v="1305.0"/>
        <n v="14750.0"/>
        <n v="1700.0"/>
        <n v="2196.0"/>
        <n v="2404.5"/>
        <n v="2850.0"/>
        <n v="4977.0"/>
        <n v="5300.0"/>
        <n v="5969.1"/>
        <n v="7059.0"/>
        <n v="7705.0"/>
        <n v="8646.0"/>
        <n v="10050.0"/>
        <n v="14655.1"/>
        <n v="14702.8"/>
        <n v="14995.5"/>
        <n v="15202.0"/>
        <n v="23146.0"/>
        <n v="31373.2"/>
        <n v="39347.3"/>
        <n v="40765.4"/>
        <n v="45642.5"/>
        <n v="147021.0"/>
        <n v="2915.5"/>
        <n v="5250.0"/>
        <n v="6552.0"/>
        <n v="16238.7"/>
        <n v="16789.55"/>
        <n v="17687.6"/>
        <n v="98228.4"/>
        <n v="3130.45"/>
        <n v="3354.0"/>
        <n v="10368.8"/>
        <n v="1800.0"/>
        <n v="2475.25"/>
        <n v="4490.2"/>
        <n v="7750.0"/>
        <n v="8686.0"/>
        <n v="8779.0"/>
        <n v="3804.0"/>
        <n v="4956.0"/>
        <n v="20035.4"/>
        <n v="103307.5"/>
        <n v="3557.0"/>
        <n v="4209.5"/>
        <n v="5826.66"/>
        <n v="10488.7"/>
        <n v="11124.5"/>
        <n v="15375.2"/>
        <n v="25268.0"/>
        <n v="432.5"/>
        <n v="543.9"/>
        <n v="2485.0"/>
        <n v="2950.0"/>
        <n v="3000.0"/>
        <n v="4522.0"/>
        <n v="10140.0"/>
        <n v="10450.0"/>
        <n v="34720.0"/>
        <n v="640.5"/>
        <n v="900.0"/>
        <n v="8040.0"/>
        <n v="10629.75"/>
        <n v="11281.0"/>
        <n v="26720.0"/>
        <n v="29710.0"/>
        <n v="440.0"/>
        <n v="1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L1:M1000" sheet="Copy of John 1"/>
  </cacheSource>
  <cacheFields>
    <cacheField name="month" numFmtId="0">
      <sharedItems containsBlank="1">
        <s v="November"/>
        <s v="January"/>
        <s v="February"/>
        <m/>
      </sharedItems>
    </cacheField>
    <cacheField name="OrderTotal" numFmtId="4">
      <sharedItems containsString="0" containsBlank="1" containsNumber="1">
        <n v="4372.25"/>
        <n v="1362.0"/>
        <n v="1500.0"/>
        <n v="2148.8"/>
        <n v="2365.8"/>
        <n v="2367.5"/>
        <n v="38256.0"/>
        <n v="1600.0"/>
        <n v="4762.1"/>
        <n v="5265.0"/>
        <n v="51900.0"/>
        <n v="2060.0"/>
        <n v="4097.5"/>
        <n v="6230.0"/>
        <n v="44970.0"/>
        <n v="525.3"/>
        <n v="2265.45"/>
        <n v="3256.0"/>
        <n v="4400.6"/>
        <n v="8254.15"/>
        <n v="111000.0"/>
        <n v="765.0"/>
        <n v="1525.0"/>
        <n v="2050.0"/>
        <n v="3571.75"/>
        <n v="5151.0"/>
        <n v="7885.3"/>
        <n v="10250.5"/>
        <n v="16973.25"/>
        <n v="1154.0"/>
        <n v="3031.5"/>
        <n v="4490.4"/>
        <n v="10550.0"/>
        <n v="744.0"/>
        <n v="1873.1"/>
        <n v="1995.5"/>
        <n v="2113.6"/>
        <n v="4800.0"/>
        <n v="711.0"/>
        <n v="1289.35"/>
        <n v="1806.0"/>
        <n v="3700.8"/>
        <n v="3720.0"/>
        <n v="5500.0"/>
        <n v="15998.0"/>
        <n v="324.0"/>
        <n v="569.8"/>
        <n v="1172.0"/>
        <n v="2526.5"/>
        <n v="2759.8"/>
        <n v="3290.0"/>
        <n v="3818.7"/>
        <n v="4312.0"/>
        <n v="773.0"/>
        <n v="2586.0"/>
        <n v="3382.85"/>
        <n v="4384.5"/>
        <n v="5596.0"/>
        <n v="3488.5"/>
        <n v="5588.5"/>
        <n v="28093.6"/>
        <n v="1762.0"/>
        <n v="4819.0"/>
        <n v="779.25"/>
        <n v="1710.3"/>
        <n v="2200.0"/>
        <n v="3251.0"/>
        <n v="10168.0"/>
        <n v="10316.4"/>
        <n v="21920.0"/>
        <n v="27978.0"/>
        <n v="240.0"/>
        <n v="799.0"/>
        <n v="1316.0"/>
        <n v="2122.0"/>
        <n v="2485.85"/>
        <n v="7782.5"/>
        <n v="13562.7"/>
        <n v="16200.0"/>
        <n v="33650.0"/>
        <n v="47250.0"/>
        <n v="105000.0"/>
        <n v="1048.0"/>
        <n v="1100.0"/>
        <n v="1686.0"/>
        <n v="4562.0"/>
        <n v="4700.0"/>
        <n v="11901.4"/>
        <n v="12300.0"/>
        <n v="13000.0"/>
        <n v="16466.0"/>
        <n v="18387.75"/>
        <n v="966.0"/>
        <n v="19060.5"/>
        <n v="1099.0"/>
        <n v="3280.0"/>
        <n v="5900.0"/>
        <n v="10831.5"/>
        <n v="903.92"/>
        <n v="1804.0"/>
        <n v="7650.0"/>
        <n v="8128.0"/>
        <n v="17417.0"/>
        <n v="22725.0"/>
        <n v="45360.0"/>
        <n v="990.0"/>
        <n v="3305.0"/>
        <n v="4807.0"/>
        <n v="5732.0"/>
        <n v="10990.0"/>
        <n v="4236.55"/>
        <n v="7140.0"/>
        <n v="365925.0"/>
        <n v="227.0"/>
        <n v="1537.2"/>
        <n v="3157.0"/>
        <n v="6180.5"/>
        <n v="12195.8"/>
        <n v="1080.0"/>
        <n v="20494.75"/>
        <n v="50228.0"/>
        <n v="1292.3"/>
        <n v="1305.0"/>
        <n v="14750.0"/>
        <n v="1700.0"/>
        <n v="2196.0"/>
        <n v="2404.5"/>
        <n v="2850.0"/>
        <n v="4977.0"/>
        <n v="5300.0"/>
        <n v="5969.1"/>
        <n v="7059.0"/>
        <n v="7705.0"/>
        <n v="8646.0"/>
        <n v="10050.0"/>
        <n v="14655.1"/>
        <n v="14702.8"/>
        <n v="14995.5"/>
        <n v="15202.0"/>
        <n v="23146.0"/>
        <n v="31373.2"/>
        <n v="39347.3"/>
        <n v="40765.4"/>
        <n v="45642.5"/>
        <n v="147021.0"/>
        <n v="2915.5"/>
        <n v="5250.0"/>
        <n v="6552.0"/>
        <n v="16238.7"/>
        <n v="16789.55"/>
        <n v="17687.6"/>
        <n v="98228.4"/>
        <n v="3130.45"/>
        <n v="3354.0"/>
        <n v="10368.8"/>
        <n v="1800.0"/>
        <n v="2475.25"/>
        <n v="4490.2"/>
        <n v="7750.0"/>
        <n v="8686.0"/>
        <n v="8779.0"/>
        <n v="3804.0"/>
        <n v="4956.0"/>
        <n v="20035.4"/>
        <n v="103307.5"/>
        <n v="3557.0"/>
        <n v="4209.5"/>
        <n v="5826.66"/>
        <n v="10488.7"/>
        <n v="11124.5"/>
        <n v="15375.2"/>
        <n v="25268.0"/>
        <n v="432.5"/>
        <n v="543.9"/>
        <n v="2485.0"/>
        <n v="2950.0"/>
        <n v="3000.0"/>
        <n v="4522.0"/>
        <n v="10140.0"/>
        <n v="10450.0"/>
        <n v="34720.0"/>
        <n v="640.5"/>
        <n v="900.0"/>
        <n v="8040.0"/>
        <n v="10629.75"/>
        <n v="11281.0"/>
        <n v="26720.0"/>
        <n v="29710.0"/>
        <n v="440.0"/>
        <n v="12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K1:M201" sheet="Copy of John 1"/>
  </cacheSource>
  <cacheFields>
    <cacheField name="CustomerName" numFmtId="0">
      <sharedItems>
        <s v="CITY GOVERNMENT OF DAVAO"/>
        <s v="STAR PAPER CORPORATION"/>
        <s v="STENIEL MINDANAO PACKAGING CORPORATION"/>
        <s v="COMFAC CORPORATION"/>
        <s v="NXTGEN TECHNOLOGIES INC"/>
        <s v="INFIMAX HEALTH PRODUCTS"/>
        <s v="DEPT. OF HUMAN SETTLEMENTS &amp; URBAN DEV'T"/>
        <s v="PHIL.FIBER INDUSTRY DEV'T AUTHORITY"/>
        <s v="HI5 SOLUTIONS OPC"/>
        <s v="B.P.I. - BAJADA (FRONTING CONPINCO)"/>
        <s v="INSULAR OIL CORPORATION"/>
        <s v="LAND BANK OF THE PHILS. - NABUNTURAN"/>
        <s v="IVN ENTERPRISES"/>
        <s v="KIM GUAN TRADING CO. INC."/>
        <s v="SPAMAST"/>
        <s v="ANTONIO'S GRILL"/>
        <s v="FAR EAST ASSOCIATES"/>
        <s v="LAND BANK - TORIL BRANCH"/>
        <s v="SIMC"/>
        <s v="HELPMATE INCORPORATED"/>
        <s v="EHB ENTERPRISES &amp; PRINTHAUS"/>
        <s v="ML PREMIUM RESOURCES CORP."/>
        <s v="ARM-G  INT'L. LOGISTIC INC."/>
        <s v="ASTROBUILT CONSTRUCTION &amp; DEVELOPMENT"/>
        <s v="EC GONZAGA ENTERPRISES"/>
        <s v="EQUINOX SYNERGY OPC"/>
        <s v="BANEXCO TRADERS INC."/>
        <s v="LAND BANK OF THE PHILS. - RAMON MAGSAYSAY"/>
        <s v="EZGAB CORPORATION"/>
        <s v="FOCUSINC GROUP CORP."/>
        <s v="CIVIL SERVICE COMMISSION-REG. XI"/>
        <s v="NAKASHIN DAVAO INTERNATIONAL INC."/>
        <s v="PNJK INC"/>
        <s v="B.P.I. -  HOUSING LOAN"/>
        <s v="LICSAL CONSTRUCTION CORP."/>
        <s v="REJOICE FAMILY FOODS"/>
        <s v="AGRI DAVAO INCORPORATED"/>
        <s v="CHARVERSON WOOD INDUSTRY INC."/>
        <s v="DAVAO CONCRETE POLES CORPORATION"/>
        <s v="KALINGAP PHARMACY"/>
        <s v="SILANGAN MULTI-PURPOSE COOPERATIVE - BUHANGIN"/>
        <s v="EAST WEST BANK - BAJADA  2FLR."/>
        <s v="TRINITAS FOOD CORP."/>
        <s v="MOTORMALL DAVAO CORPORATION"/>
        <s v="GREENKREATIONS INC."/>
        <s v="INNOBUILDTEK DEVELOPMENT INC"/>
        <s v="SUNFRESH AGRICULTURAL VENTURES INC."/>
        <s v="PHILIPS GLASS &amp; ALUMINUM SALES INC."/>
        <s v="AKTIV MULTI TRADING CO. PHILS. INC."/>
        <s v="KILOTRADE"/>
        <s v="SEADOVE MARITIME SERVICES INC."/>
        <s v="RBGM MEDICAL EXPRESS SALES INC."/>
        <s v="DEPT. OF TRADE &amp; INDUSTRY- RO-11"/>
        <s v="FIESTA  APPLIANCE CENTER INC."/>
        <s v="PHILIPPINE COCONUT AUTHORITY-REG.XI"/>
        <s v="GTM GET THINGS MOVING DISTRIBUTION INC."/>
        <s v="EAST WEST BANK - DAVAO AGDAO BRANCH"/>
        <s v="LAND BANK OF THE PHILIPPINES - MATI BRANCH"/>
        <s v="MALAYAN INSURANCE COMPANY INC."/>
        <s v="NATIONAL POLICE COMMISSION"/>
        <s v="DEPARTMENT OF TOURISM"/>
        <s v="JATHNIER CORPORATION"/>
        <s v="LAND BANK OF THE PHILS.-BANSALAN BRANCH"/>
        <s v="B.P.I. - LANANG"/>
        <s v="HAFELE PHILIPPINES INC."/>
        <s v="JLP DESIGN"/>
        <s v="GOLDEN BALES CORPORATION"/>
        <s v="DIGOS WATER DISTRICT"/>
        <s v="EAST WEST BANK"/>
        <s v="DAVAO FIBREBOARD PACKAGING PLANT INC."/>
        <s v="JEWM AGRO-INDUSTRIAL CORPORATION"/>
        <s v="MINDANAO KOKUSAI DAIGAKU"/>
        <s v="STERLING BANK OF ASIA - BAJADA"/>
        <s v="FELY M. MORATA CUSTOM BROKERAGE SERVICES"/>
        <s v="UNIVERSITY OF SOUTHEASTERN PHILS."/>
        <s v="INSURANCE COMMISSION"/>
        <s v="RV BAYANIHAN LENDING"/>
        <s v="PANORAMA SUMMIT HOTEL"/>
        <s v="ASIAGLOBAL TECHNOLOGIES INC."/>
        <s v="AMERICARES FOUNDATION INC."/>
        <s v="AFP &amp; POLICE SAVINGS LOAN ASSN (AFPSLAI)"/>
        <s v="HEAD CORPORATION"/>
        <s v="IGACOS WATER DISTRICT"/>
        <s v="UNIVERSITY OF SOUTHERN MINDANAO"/>
        <s v="HAVEN UNITED DEV'T. CORPORATION"/>
        <s v="KABACAN WATER DISTRICT"/>
        <s v="DAVAO GENERAL HARDWARE COMPANY"/>
        <s v="MUNICIPALITY OF LUPON - LGU"/>
        <s v="KENNEMER FOODS INTERNATIONAL INC."/>
        <s v="F.S. DIZON &amp; SONS INC."/>
        <s v="MINES AND GEOSCIENCES BUREAU-RXI"/>
        <s v="SOUTHERN HARVEST INCORPORATED"/>
        <s v="TRANSNATIONAL AVIATION SUPPORT SERVICES"/>
        <s v="NATIONAL CONCILIATION AND MEDIAT'N BOARD"/>
        <s v="AUTOKID SOUTH MINDANAO CORP."/>
        <s v="DEPARTMENT OF BUDGET &amp; MANAGEMENT"/>
        <s v="COMMISSION ON AUDIT"/>
        <s v="AMESCO DRUG CORPORATION"/>
        <s v="CONSULATE GENERAL OF JAPAN"/>
        <s v="NATIONAL FOOD AUTHORITY - TAGUM"/>
        <s v="AMALGATED CAPITAL INCORPORATED"/>
        <s v="MUNICIPALITY OF KABACAN"/>
        <s v="ASSUMPTION COLLEGE OF DAVAO INC"/>
        <s v="SF &amp; F TRUCKING SERVICES"/>
        <s v="DEPARTMENT OF SOCIAL WELFARE &amp; DEVT"/>
        <s v="MABUHAY WAREHOUSE"/>
        <s v="CHEVRON PHILIPPINES INC. (FORMER CALTEX)"/>
        <s v="SHIMADZU PHILS. CORP"/>
        <s v="MARITIME INDUSTRY AUTHORITY"/>
        <s v="LAND BANK OF THE PHILS. - PANABO"/>
        <s v="DAVAO EYEMDS LASER AND SURGERY CENTER"/>
        <s v="MILLENNIUM SPECIALTY COCO PRODUCTSINC."/>
      </sharedItems>
    </cacheField>
    <cacheField name="month" numFmtId="0">
      <sharedItems>
        <s v="November"/>
        <s v="January"/>
        <s v="February"/>
      </sharedItems>
    </cacheField>
    <cacheField name="OrderTotal" numFmtId="4">
      <sharedItems containsSemiMixedTypes="0" containsString="0" containsNumber="1">
        <n v="4372.25"/>
        <n v="1362.0"/>
        <n v="1500.0"/>
        <n v="2148.8"/>
        <n v="2365.8"/>
        <n v="2367.5"/>
        <n v="38256.0"/>
        <n v="1600.0"/>
        <n v="4762.1"/>
        <n v="5265.0"/>
        <n v="51900.0"/>
        <n v="2060.0"/>
        <n v="4097.5"/>
        <n v="6230.0"/>
        <n v="44970.0"/>
        <n v="525.3"/>
        <n v="2265.45"/>
        <n v="3256.0"/>
        <n v="4400.6"/>
        <n v="8254.15"/>
        <n v="111000.0"/>
        <n v="765.0"/>
        <n v="1525.0"/>
        <n v="2050.0"/>
        <n v="3571.75"/>
        <n v="5151.0"/>
        <n v="7885.3"/>
        <n v="10250.5"/>
        <n v="16973.25"/>
        <n v="1154.0"/>
        <n v="3031.5"/>
        <n v="4490.4"/>
        <n v="10550.0"/>
        <n v="744.0"/>
        <n v="1873.1"/>
        <n v="1995.5"/>
        <n v="2113.6"/>
        <n v="4800.0"/>
        <n v="711.0"/>
        <n v="1289.35"/>
        <n v="1806.0"/>
        <n v="3700.8"/>
        <n v="3720.0"/>
        <n v="5500.0"/>
        <n v="15998.0"/>
        <n v="324.0"/>
        <n v="569.8"/>
        <n v="1172.0"/>
        <n v="2526.5"/>
        <n v="2759.8"/>
        <n v="3290.0"/>
        <n v="3818.7"/>
        <n v="4312.0"/>
        <n v="773.0"/>
        <n v="2586.0"/>
        <n v="3382.85"/>
        <n v="4384.5"/>
        <n v="5596.0"/>
        <n v="3488.5"/>
        <n v="5588.5"/>
        <n v="28093.6"/>
        <n v="1762.0"/>
        <n v="4819.0"/>
        <n v="779.25"/>
        <n v="1710.3"/>
        <n v="2200.0"/>
        <n v="3251.0"/>
        <n v="10168.0"/>
        <n v="10316.4"/>
        <n v="21920.0"/>
        <n v="27978.0"/>
        <n v="240.0"/>
        <n v="799.0"/>
        <n v="1316.0"/>
        <n v="2122.0"/>
        <n v="2485.85"/>
        <n v="7782.5"/>
        <n v="13562.7"/>
        <n v="16200.0"/>
        <n v="33650.0"/>
        <n v="47250.0"/>
        <n v="105000.0"/>
        <n v="1048.0"/>
        <n v="1100.0"/>
        <n v="1686.0"/>
        <n v="4562.0"/>
        <n v="4700.0"/>
        <n v="11901.4"/>
        <n v="12300.0"/>
        <n v="13000.0"/>
        <n v="16466.0"/>
        <n v="18387.75"/>
        <n v="966.0"/>
        <n v="19060.5"/>
        <n v="1099.0"/>
        <n v="3280.0"/>
        <n v="5900.0"/>
        <n v="10831.5"/>
        <n v="903.92"/>
        <n v="1804.0"/>
        <n v="7650.0"/>
        <n v="8128.0"/>
        <n v="17417.0"/>
        <n v="22725.0"/>
        <n v="45360.0"/>
        <n v="990.0"/>
        <n v="3305.0"/>
        <n v="4807.0"/>
        <n v="5732.0"/>
        <n v="10990.0"/>
        <n v="4236.55"/>
        <n v="7140.0"/>
        <n v="365925.0"/>
        <n v="227.0"/>
        <n v="1537.2"/>
        <n v="3157.0"/>
        <n v="6180.5"/>
        <n v="12195.8"/>
        <n v="1080.0"/>
        <n v="20494.75"/>
        <n v="50228.0"/>
        <n v="1292.3"/>
        <n v="1305.0"/>
        <n v="14750.0"/>
        <n v="1700.0"/>
        <n v="2196.0"/>
        <n v="2404.5"/>
        <n v="2850.0"/>
        <n v="4977.0"/>
        <n v="5300.0"/>
        <n v="5969.1"/>
        <n v="7059.0"/>
        <n v="7705.0"/>
        <n v="8646.0"/>
        <n v="10050.0"/>
        <n v="14655.1"/>
        <n v="14702.8"/>
        <n v="14995.5"/>
        <n v="15202.0"/>
        <n v="23146.0"/>
        <n v="31373.2"/>
        <n v="39347.3"/>
        <n v="40765.4"/>
        <n v="45642.5"/>
        <n v="147021.0"/>
        <n v="2915.5"/>
        <n v="5250.0"/>
        <n v="6552.0"/>
        <n v="16238.7"/>
        <n v="16789.55"/>
        <n v="17687.6"/>
        <n v="98228.4"/>
        <n v="3130.45"/>
        <n v="3354.0"/>
        <n v="10368.8"/>
        <n v="1800.0"/>
        <n v="2475.25"/>
        <n v="4490.2"/>
        <n v="7750.0"/>
        <n v="8686.0"/>
        <n v="8779.0"/>
        <n v="3804.0"/>
        <n v="4956.0"/>
        <n v="20035.4"/>
        <n v="103307.5"/>
        <n v="3557.0"/>
        <n v="4209.5"/>
        <n v="5826.66"/>
        <n v="10488.7"/>
        <n v="11124.5"/>
        <n v="15375.2"/>
        <n v="25268.0"/>
        <n v="432.5"/>
        <n v="543.9"/>
        <n v="2485.0"/>
        <n v="2950.0"/>
        <n v="3000.0"/>
        <n v="4522.0"/>
        <n v="10140.0"/>
        <n v="10450.0"/>
        <n v="34720.0"/>
        <n v="640.5"/>
        <n v="900.0"/>
        <n v="8040.0"/>
        <n v="10629.75"/>
        <n v="11281.0"/>
        <n v="26720.0"/>
        <n v="29710.0"/>
        <n v="440.0"/>
        <n v="1200.0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01" sheet="John 2"/>
  </cacheSource>
  <cacheFields>
    <cacheField name="OrderNbr" numFmtId="49">
      <sharedItems>
        <s v="SO00000687"/>
        <s v="SO00000012"/>
        <s v="SO00000005"/>
        <s v="SO00000028"/>
        <s v="SO00000021"/>
        <s v="SO00000026"/>
        <s v="SO00000020"/>
        <s v="SO00000013"/>
        <s v="SO00000097"/>
        <s v="SO00000071"/>
        <s v="SO00000096"/>
        <s v="SO00000070"/>
        <s v="SO00000103"/>
        <s v="SO00000146"/>
        <s v="SO00000117"/>
        <s v="SO00000124"/>
        <s v="SO00000121"/>
        <s v="SO00000172"/>
        <s v="SO00000196"/>
        <s v="SO00000168"/>
        <s v="SO00000179"/>
        <s v="SO00000219"/>
        <s v="SO00000190"/>
        <s v="SO00000275"/>
        <s v="SO00000262"/>
        <s v="SO00000263"/>
        <s v="SO00000265"/>
        <s v="SO00000266"/>
        <s v="SO00000245"/>
        <s v="SO00000247"/>
        <s v="SO00000296"/>
        <s v="SO00000313"/>
        <s v="SO00000337"/>
        <s v="SO00000334"/>
        <s v="SO00000357"/>
        <s v="SO00000364"/>
        <s v="SO00000342"/>
        <s v="SO00000346"/>
        <s v="SO00000402"/>
        <s v="SO00000399"/>
        <s v="SO00000403"/>
        <s v="SO00000405"/>
        <s v="SO00000398"/>
        <s v="SO00000436"/>
        <s v="SO00000434"/>
        <s v="SO00000437"/>
        <s v="SO00000243"/>
        <s v="SO00000464"/>
        <s v="SO00000463"/>
        <s v="SO00000488"/>
        <s v="SO00000498"/>
        <s v="SO00000510"/>
        <s v="SO00000518"/>
        <s v="SO00000501"/>
        <s v="SO00000514"/>
        <s v="SO00000515"/>
        <s v="SO00000527"/>
        <s v="SO00000500"/>
        <s v="SO00000535"/>
        <s v="SO00000538"/>
        <s v="SO00000540"/>
        <s v="SO00000566"/>
        <s v="SO00000530"/>
        <s v="SO00000573"/>
        <s v="SO00000572"/>
        <s v="SO00000589"/>
        <s v="SO00000616"/>
        <s v="SO00000621"/>
        <s v="SO00000677"/>
        <s v="SO00000690"/>
        <s v="SO00000662"/>
        <s v="SO00000663"/>
        <s v="SO00000682"/>
        <s v="SO00000684"/>
        <s v="SO00000660"/>
        <s v="SO00000692"/>
        <s v="SO00000701"/>
        <s v="SO00000730"/>
        <s v="SO00000702"/>
        <s v="SO00000707"/>
        <s v="SO00000735"/>
        <s v="SO00000717"/>
        <s v="SO00000709"/>
        <s v="SO00000728"/>
        <s v="SO00000723"/>
        <s v="SO00000729"/>
        <s v="SO00000739"/>
        <s v="SO00000750"/>
        <s v="SO00000759"/>
        <s v="SO00000758"/>
        <s v="SO00000788"/>
        <s v="SO00000789"/>
        <s v="SO00000755"/>
        <s v="SO00000801"/>
        <s v="SO00000803"/>
        <s v="SO00000754"/>
        <s v="SO00000752"/>
        <s v="SO00000814"/>
        <s v="SO00000835"/>
        <s v="SO00001532"/>
        <s v="SO00000855"/>
        <s v="SO00000861"/>
        <s v="SO00000854"/>
        <s v="SO00000853"/>
        <s v="SO00000869"/>
        <s v="SO00000881"/>
        <s v="SO00000914"/>
        <s v="SO00000889"/>
        <s v="SO00000905"/>
        <s v="SO00000896"/>
        <s v="SO00000909"/>
        <s v="SO00000920"/>
        <s v="SO00000938"/>
        <s v="SO00000921"/>
        <s v="SO00000922"/>
        <s v="SO00000935"/>
        <s v="SO00000943"/>
        <s v="SO00000948"/>
        <s v="SO00001562"/>
        <s v="SO00000976"/>
        <s v="SO00001000"/>
        <s v="SO00000978"/>
        <s v="SO00000966"/>
        <s v="SO00000979"/>
        <s v="SO00000970"/>
        <s v="SO00001011"/>
        <s v="SO00001001"/>
        <s v="SO00001003"/>
        <s v="SO00001008"/>
        <s v="SO00001048"/>
        <s v="SO00001038"/>
        <s v="SO00001047"/>
        <s v="SO00001101"/>
        <s v="SO00001089"/>
        <s v="SO00001092"/>
        <s v="SO00001098"/>
        <s v="SO00001097"/>
        <s v="SO00001096"/>
        <s v="SO00001068"/>
        <s v="SO00001061"/>
        <s v="SO00001099"/>
        <s v="SO00001095"/>
        <s v="SO00001085"/>
        <s v="SO00001082"/>
        <s v="SO00001093"/>
        <s v="SO00001091"/>
        <s v="SO00001100"/>
        <s v="SO00001064"/>
        <s v="SO00001063"/>
        <s v="SO00001067"/>
        <s v="SO00001066"/>
        <s v="SO00001073"/>
        <s v="SO00001090"/>
        <s v="SO00001131"/>
        <s v="SO00001105"/>
        <s v="SO00001168"/>
        <s v="SO00001108"/>
        <s v="SO00001172"/>
        <s v="SO00001109"/>
        <s v="SO00001165"/>
        <s v="SO00001184"/>
        <s v="SO00001185"/>
        <s v="SO00001174"/>
        <s v="SO00001225"/>
        <s v="SO00001207"/>
        <s v="SO00001232"/>
        <s v="SO00001208"/>
        <s v="SO00001240"/>
        <s v="SO00001233"/>
        <s v="SO00001235"/>
        <s v="SO00001258"/>
        <s v="SO00001246"/>
        <s v="SO00001251"/>
        <s v="SO00001250"/>
        <s v="SO00001279"/>
        <s v="SO00001274"/>
        <s v="SO00001296"/>
        <s v="SO00001354"/>
        <s v="SO00001282"/>
        <s v="SO00001297"/>
        <s v="SO00001304"/>
        <s v="SO00001370"/>
        <s v="SO00001371"/>
        <s v="SO00001321"/>
        <s v="SO00001316"/>
        <s v="SO00001319"/>
        <s v="SO00001346"/>
        <s v="SO00001345"/>
        <s v="SO00001328"/>
        <s v="SO00000458"/>
        <s v="SO00001373"/>
        <s v="SO00001378"/>
        <s v="SO00001401"/>
        <s v="SO00001410"/>
        <s v="SO00001382"/>
        <s v="SO00001402"/>
        <s v="SO00001379"/>
        <s v="SO00001436"/>
        <s v="SO00001442"/>
        <s v="SO00001324"/>
      </sharedItems>
    </cacheField>
    <cacheField name="Customer" numFmtId="4">
      <sharedItems containsSemiMixedTypes="0" containsString="0" containsNumber="1" containsInteger="1">
        <n v="1.250000116E9"/>
        <n v="1.250000505E9"/>
        <n v="1.250001764E9"/>
        <n v="1.250001496E9"/>
        <n v="1.200006565E9"/>
        <n v="1.250004966E9"/>
        <n v="1.250001142E9"/>
        <n v="1.200006417E9"/>
        <n v="1.250010315E9"/>
        <n v="1.250004938E9"/>
        <n v="1.250003997E9"/>
        <n v="1.250003421E9"/>
        <n v="1.200009067E9"/>
        <n v="1.250000118E9"/>
        <n v="1.250001741E9"/>
        <n v="1.200007688E9"/>
        <n v="1.250000913E9"/>
        <n v="1.250010259E9"/>
        <n v="1.250009502E9"/>
        <n v="1.250010233E9"/>
        <n v="1.250002203E9"/>
        <n v="1.250009745E9"/>
        <n v="1.20000892E9"/>
        <n v="1.20000789E9"/>
        <n v="1.250009892E9"/>
        <n v="1.250010341E9"/>
        <n v="1.250001348E9"/>
        <n v="1.250000034E9"/>
        <n v="1.250004887E9"/>
        <n v="1.250003753E9"/>
        <n v="1.250000438E9"/>
        <n v="1.200007409E9"/>
        <n v="1.250004371E9"/>
        <n v="1.200008426E9"/>
        <n v="1.250010348E9"/>
        <n v="1.250001319E9"/>
        <n v="1.250002059E9"/>
        <n v="1.250003015E9"/>
        <n v="1.25000178E9"/>
        <n v="1.200008537E9"/>
        <n v="1.250009423E9"/>
        <n v="1.200006917E9"/>
        <n v="1.250002653E9"/>
        <n v="1.250001178E9"/>
        <n v="1.250004411E9"/>
        <n v="1.200007752E9"/>
        <n v="1.220000614E9"/>
        <n v="1.200007686E9"/>
        <n v="1.250000164E9"/>
        <n v="1.200008786E9"/>
        <n v="1.250005019E9"/>
        <n v="1.250009576E9"/>
        <n v="1.200007818E9"/>
        <n v="1.250010352E9"/>
        <n v="1.250001276E9"/>
        <n v="1.200008869E9"/>
        <n v="1.200008243E9"/>
        <n v="1.250002423E9"/>
        <n v="1.250000147E9"/>
        <n v="1.250000629E9"/>
        <n v="1.250000255E9"/>
        <n v="1.250003683E9"/>
        <n v="1.250002297E9"/>
        <n v="1.200008027E9"/>
        <n v="1.200008447E9"/>
        <n v="1.250010361E9"/>
        <n v="1.25000382E9"/>
        <n v="1.250001434E9"/>
        <n v="1.250001628E9"/>
        <n v="1.200006583E9"/>
        <n v="1.250000535E9"/>
        <n v="1.250003004E9"/>
        <n v="1.200008365E9"/>
        <n v="1.250009301E9"/>
        <n v="1.250000104E9"/>
        <n v="1.200006187E9"/>
        <n v="1.200008778E9"/>
        <n v="1.250010029E9"/>
        <n v="1.25000339E9"/>
        <n v="1.250010303E9"/>
        <n v="1.2500031E9"/>
        <n v="1.250001755E9"/>
        <n v="1.250004611E9"/>
        <n v="1.250000094E9"/>
        <n v="1.25000326E9"/>
        <n v="1.250004201E9"/>
        <n v="1.250000174E9"/>
        <n v="1.250002839E9"/>
        <n v="1.250010137E9"/>
        <n v="1.250009305E9"/>
        <n v="1.250001513E9"/>
        <n v="1.250009984E9"/>
        <n v="1.25001033E9"/>
        <n v="1.250000191E9"/>
        <n v="1.250003924E9"/>
        <n v="1.250001192E9"/>
        <n v="1.250000103E9"/>
        <n v="1.25000248E9"/>
        <n v="1.200008893E9"/>
        <n v="1.200007456E9"/>
        <n v="1.2000083E9"/>
        <n v="1.250000077E9"/>
        <n v="1.250000288E9"/>
        <n v="1.250001499E9"/>
        <n v="1.250010373E9"/>
        <n v="1.250000742E9"/>
        <n v="1.25000167E9"/>
        <n v="1.250004426E9"/>
        <n v="1.250000452E9"/>
        <n v="1.250002755E9"/>
        <n v="1.250009928E9"/>
        <n v="1.250001273E9"/>
      </sharedItems>
    </cacheField>
    <cacheField name="CustomerName" numFmtId="0">
      <sharedItems>
        <s v="CITY GOVERNMENT OF DAVAO"/>
        <s v="STAR PAPER CORPORATION"/>
        <s v="STENIEL MINDANAO PACKAGING CORPORATION"/>
        <s v="COMFAC CORPORATION"/>
        <s v="NXTGEN TECHNOLOGIES INC"/>
        <s v="INFIMAX HEALTH PRODUCTS"/>
        <s v="DEPT. OF HUMAN SETTLEMENTS &amp; URBAN DEV'T"/>
        <s v="PHIL.FIBER INDUSTRY DEV'T AUTHORITY"/>
        <s v="HI5 SOLUTIONS OPC"/>
        <s v="B.P.I. - BAJADA (FRONTING CONPINCO)"/>
        <s v="INSULAR OIL CORPORATION"/>
        <s v="LAND BANK OF THE PHILS. - NABUNTURAN"/>
        <s v="IVN ENTERPRISES"/>
        <s v="KIM GUAN TRADING CO. INC."/>
        <s v="SPAMAST"/>
        <s v="ANTONIO'S GRILL"/>
        <s v="FAR EAST ASSOCIATES"/>
        <s v="LAND BANK - TORIL BRANCH"/>
        <s v="SIMC"/>
        <s v="HELPMATE INCORPORATED"/>
        <s v="EHB ENTERPRISES &amp; PRINTHAUS"/>
        <s v="ML PREMIUM RESOURCES CORP."/>
        <s v="ARM-G  INT'L. LOGISTIC INC."/>
        <s v="ASTROBUILT CONSTRUCTION &amp; DEVELOPMENT"/>
        <s v="EC GONZAGA ENTERPRISES"/>
        <s v="EQUINOX SYNERGY OPC"/>
        <s v="BANEXCO TRADERS INC."/>
        <s v="LAND BANK OF THE PHILS. - RAMON MAGSAYSAY"/>
        <s v="EZGAB CORPORATION"/>
        <s v="FOCUSINC GROUP CORP."/>
        <s v="CIVIL SERVICE COMMISSION-REG. XI"/>
        <s v="NAKASHIN DAVAO INTERNATIONAL INC."/>
        <s v="PNJK INC"/>
        <s v="B.P.I. -  HOUSING LOAN"/>
        <s v="LICSAL CONSTRUCTION CORP."/>
        <s v="REJOICE FAMILY FOODS"/>
        <s v="AGRI DAVAO INCORPORATED"/>
        <s v="CHARVERSON WOOD INDUSTRY INC."/>
        <s v="DAVAO CONCRETE POLES CORPORATION"/>
        <s v="KALINGAP PHARMACY"/>
        <s v="SILANGAN MULTI-PURPOSE COOPERATIVE - BUHANGIN"/>
        <s v="EAST WEST BANK - BAJADA  2FLR."/>
        <s v="TRINITAS FOOD CORP."/>
        <s v="MOTORMALL DAVAO CORPORATION"/>
        <s v="GREENKREATIONS INC."/>
        <s v="INNOBUILDTEK DEVELOPMENT INC"/>
        <s v="SUNFRESH AGRICULTURAL VENTURES INC."/>
        <s v="PHILIPS GLASS &amp; ALUMINUM SALES INC."/>
        <s v="AKTIV MULTI TRADING CO. PHILS. INC."/>
        <s v="KILOTRADE"/>
        <s v="SEADOVE MARITIME SERVICES INC."/>
        <s v="RBGM MEDICAL EXPRESS SALES INC."/>
        <s v="DEPT. OF TRADE &amp; INDUSTRY- RO-11"/>
        <s v="FIESTA  APPLIANCE CENTER INC."/>
        <s v="PHILIPPINE COCONUT AUTHORITY-REG.XI"/>
        <s v="GTM GET THINGS MOVING DISTRIBUTION INC."/>
        <s v="EAST WEST BANK - DAVAO AGDAO BRANCH"/>
        <s v="LAND BANK OF THE PHILIPPINES - MATI BRANCH"/>
        <s v="MALAYAN INSURANCE COMPANY INC."/>
        <s v="NATIONAL POLICE COMMISSION"/>
        <s v="DEPARTMENT OF TOURISM"/>
        <s v="JATHNIER CORPORATION"/>
        <s v="LAND BANK OF THE PHILS.-BANSALAN BRANCH"/>
        <s v="B.P.I. - LANANG"/>
        <s v="HAFELE PHILIPPINES INC."/>
        <s v="JLP DESIGN"/>
        <s v="GOLDEN BALES CORPORATION"/>
        <s v="DIGOS WATER DISTRICT"/>
        <s v="EAST WEST BANK"/>
        <s v="DAVAO FIBREBOARD PACKAGING PLANT INC."/>
        <s v="JEWM AGRO-INDUSTRIAL CORPORATION"/>
        <s v="MINDANAO KOKUSAI DAIGAKU"/>
        <s v="STERLING BANK OF ASIA - BAJADA"/>
        <s v="FELY M. MORATA CUSTOM BROKERAGE SERVICES"/>
        <s v="UNIVERSITY OF SOUTHEASTERN PHILS."/>
        <s v="INSURANCE COMMISSION"/>
        <s v="RV BAYANIHAN LENDING"/>
        <s v="PANORAMA SUMMIT HOTEL"/>
        <s v="ASIAGLOBAL TECHNOLOGIES INC."/>
        <s v="AMERICARES FOUNDATION INC."/>
        <s v="AFP &amp; POLICE SAVINGS LOAN ASSN (AFPSLAI)"/>
        <s v="HEAD CORPORATION"/>
        <s v="IGACOS WATER DISTRICT"/>
        <s v="UNIVERSITY OF SOUTHERN MINDANAO"/>
        <s v="HAVEN UNITED DEV'T. CORPORATION"/>
        <s v="KABACAN WATER DISTRICT"/>
        <s v="DAVAO GENERAL HARDWARE COMPANY"/>
        <s v="MUNICIPALITY OF LUPON - LGU"/>
        <s v="KENNEMER FOODS INTERNATIONAL INC."/>
        <s v="F.S. DIZON &amp; SONS INC."/>
        <s v="MINES AND GEOSCIENCES BUREAU-RXI"/>
        <s v="SOUTHERN HARVEST INCORPORATED"/>
        <s v="TRANSNATIONAL AVIATION SUPPORT SERVICES"/>
        <s v="NATIONAL CONCILIATION AND MEDIAT'N BOARD"/>
        <s v="AUTOKID SOUTH MINDANAO CORP."/>
        <s v="DEPARTMENT OF BUDGET &amp; MANAGEMENT"/>
        <s v="COMMISSION ON AUDIT"/>
        <s v="AMESCO DRUG CORPORATION"/>
        <s v="CONSULATE GENERAL OF JAPAN"/>
        <s v="NATIONAL FOOD AUTHORITY - TAGUM"/>
        <s v="AMALGATED CAPITAL INCORPORATED"/>
        <s v="MUNICIPALITY OF KABACAN"/>
        <s v="ASSUMPTION COLLEGE OF DAVAO INC"/>
        <s v="SF &amp; F TRUCKING SERVICES"/>
        <s v="DEPARTMENT OF SOCIAL WELFARE &amp; DEVT"/>
        <s v="MABUHAY WAREHOUSE"/>
        <s v="CHEVRON PHILIPPINES INC. (FORMER CALTEX)"/>
        <s v="SHIMADZU PHILS. CORP"/>
        <s v="MARITIME INDUSTRY AUTHORITY"/>
        <s v="LAND BANK OF THE PHILS. - PANABO"/>
        <s v="DAVAO EYEMDS LASER AND SURGERY CENTER"/>
        <s v="MILLENNIUM SPECIALTY COCO PRODUCTSINC."/>
      </sharedItems>
    </cacheField>
    <cacheField name="Date" numFmtId="165">
      <sharedItems containsSemiMixedTypes="0" containsNonDate="0" containsDate="1" containsString="0">
        <d v="2023-11-20T00:00:00Z"/>
        <d v="2024-01-03T00:00:00Z"/>
        <d v="2024-01-04T00:00:00Z"/>
        <d v="2024-01-05T00:00:00Z"/>
        <d v="2024-01-08T00:00:00Z"/>
        <d v="2024-01-09T00:00:00Z"/>
        <d v="2024-01-10T00:00:00Z"/>
        <d v="2024-01-11T00:00:00Z"/>
        <d v="2024-01-12T00:00:00Z"/>
        <d v="2024-01-13T00:00:00Z"/>
        <d v="2024-01-15T00:00:00Z"/>
        <d v="2024-01-16T00:00:00Z"/>
        <d v="2024-01-17T00:00:00Z"/>
        <d v="2024-01-18T00:00:00Z"/>
        <d v="2024-01-19T00:00:00Z"/>
        <d v="2024-01-22T00:00:00Z"/>
        <d v="2024-01-23T00:00:00Z"/>
        <d v="2024-01-24T00:00:00Z"/>
        <d v="2024-01-25T00:00:00Z"/>
        <d v="2024-01-26T00:00:00Z"/>
        <d v="2024-01-27T00:00:00Z"/>
        <d v="2024-01-29T00:00:00Z"/>
        <d v="2024-01-30T00:00:00Z"/>
        <d v="2024-01-31T00:00:00Z"/>
        <d v="2024-02-01T00:00:00Z"/>
        <d v="2024-02-02T00:00:00Z"/>
        <d v="2024-02-03T00:00:00Z"/>
        <d v="2024-02-05T00:00:00Z"/>
        <d v="2024-02-06T00:00:00Z"/>
        <d v="2024-02-07T00:00:00Z"/>
        <d v="2024-02-08T00:00:00Z"/>
        <d v="2024-02-09T00:00:00Z"/>
        <d v="2024-02-12T00:00:00Z"/>
        <d v="2024-02-13T00:00:00Z"/>
        <d v="2024-02-14T00:00:00Z"/>
        <d v="2024-02-15T00:00:00Z"/>
      </sharedItems>
      <fieldGroup par="6"/>
    </cacheField>
    <cacheField name=" OrderTotal " numFmtId="166">
      <sharedItems>
        <s v=" ₱4372.25 "/>
        <s v=" ₱1362.00 "/>
        <s v=" ₱1500.00 "/>
        <s v=" ₱1916.00 "/>
        <s v=" ₱2148.80 "/>
        <s v=" ₱2365.80 "/>
        <s v=" ₱2367.50 "/>
        <s v=" ₱38256.00 "/>
        <s v=" ₱1600.00 "/>
        <s v=" ₱4762.10 "/>
        <s v=" ₱5265.00 "/>
        <s v=" ₱51900.00 "/>
        <s v=" ₱2060.00 "/>
        <s v=" ₱4097.50 "/>
        <s v=" ₱6230.00 "/>
        <s v=" ₱44970.00 "/>
        <s v=" ₱525.30 "/>
        <s v=" ₱2265.45 "/>
        <s v=" ₱3256.00 "/>
        <s v=" ₱4400.60 "/>
        <s v=" ₱8254.15 "/>
        <s v=" ₱111000.00 "/>
        <s v=" ₱765.00 "/>
        <s v=" ₱1525.00 "/>
        <s v=" ₱2050.00 "/>
        <s v=" ₱3571.75 "/>
        <s v=" ₱5151.00 "/>
        <s v=" ₱7885.30 "/>
        <s v=" ₱10250.50 "/>
        <s v=" ₱16973.25 "/>
        <s v=" ₱1154.00 "/>
        <s v=" ₱3031.50 "/>
        <s v=" ₱4490.40 "/>
        <s v=" ₱10550.00 "/>
        <s v=" ₱744.00 "/>
        <s v=" ₱1873.10 "/>
        <s v=" ₱1995.50 "/>
        <s v=" ₱2113.60 "/>
        <s v=" ₱4800.00 "/>
        <s v=" ₱711.00 "/>
        <s v=" ₱1289.35 "/>
        <s v=" ₱1806.00 "/>
        <s v=" ₱3700.80 "/>
        <s v=" ₱3720.00 "/>
        <s v=" ₱5500.00 "/>
        <s v=" ₱15998.00 "/>
        <s v=" ₱324.00 "/>
        <s v=" ₱569.80 "/>
        <s v=" ₱1172.00 "/>
        <s v=" ₱2526.50 "/>
        <s v=" ₱2759.80 "/>
        <s v=" ₱3290.00 "/>
        <s v=" ₱3818.70 "/>
        <s v=" ₱4312.00 "/>
        <s v=" ₱773.00 "/>
        <s v=" ₱2586.00 "/>
        <s v=" ₱3382.85 "/>
        <s v=" ₱4384.50 "/>
        <s v=" ₱5596.00 "/>
        <s v=" ₱3488.50 "/>
        <s v=" ₱5588.50 "/>
        <s v=" ₱28093.60 "/>
        <s v=" ₱1762.00 "/>
        <s v=" ₱4819.00 "/>
        <s v=" ₱779.25 "/>
        <s v=" ₱1710.30 "/>
        <s v=" ₱2200.00 "/>
        <s v=" ₱3251.00 "/>
        <s v=" ₱10168.00 "/>
        <s v=" ₱10316.40 "/>
        <s v=" ₱21920.00 "/>
        <s v=" ₱27978.00 "/>
        <s v=" ₱240.00 "/>
        <s v=" ₱799.00 "/>
        <s v=" ₱1316.00 "/>
        <s v=" ₱2122.00 "/>
        <s v=" ₱2485.85 "/>
        <s v=" ₱7782.50 "/>
        <s v=" ₱13562.70 "/>
        <s v=" ₱16200.00 "/>
        <s v=" ₱33650.00 "/>
        <s v=" ₱47250.00 "/>
        <s v=" ₱105000.00 "/>
        <s v=" ₱1048.00 "/>
        <s v=" ₱1100.00 "/>
        <s v=" ₱1686.00 "/>
        <s v=" ₱4562.00 "/>
        <s v=" ₱4700.00 "/>
        <s v=" ₱11901.40 "/>
        <s v=" ₱12300.00 "/>
        <s v=" ₱13000.00 "/>
        <s v=" ₱16466.00 "/>
        <s v=" ₱18387.75 "/>
        <s v=" ₱966.00 "/>
        <s v=" ₱19060.50 "/>
        <s v=" ₱1099.00 "/>
        <s v=" ₱3280.00 "/>
        <s v=" ₱5900.00 "/>
        <s v=" ₱10831.50 "/>
        <s v=" ₱903.92 "/>
        <s v=" ₱1804.00 "/>
        <s v=" ₱7650.00 "/>
        <s v=" ₱8128.00 "/>
        <s v=" ₱17417.00 "/>
        <s v=" ₱22725.00 "/>
        <s v=" ₱45360.00 "/>
        <s v=" ₱990.00 "/>
        <s v=" ₱3305.00 "/>
        <s v=" ₱4807.00 "/>
        <s v=" ₱5732.00 "/>
        <s v=" ₱10990.00 "/>
        <s v=" ₱4236.55 "/>
        <s v=" ₱7140.00 "/>
        <s v=" ₱365925.00 "/>
        <s v=" ₱227.00 "/>
        <s v=" ₱1537.20 "/>
        <s v=" ₱3157.00 "/>
        <s v=" ₱6180.50 "/>
        <s v=" ₱12195.80 "/>
        <s v=" ₱1080.00 "/>
        <s v=" ₱20494.75 "/>
        <s v=" ₱50228.00 "/>
        <s v=" ₱1292.30 "/>
        <s v=" ₱1305.00 "/>
        <s v=" ₱14750.00 "/>
        <s v=" ₱1700.00 "/>
        <s v=" ₱2196.00 "/>
        <s v=" ₱2404.50 "/>
        <s v=" ₱2850.00 "/>
        <s v=" ₱4977.00 "/>
        <s v=" ₱5300.00 "/>
        <s v=" ₱5969.10 "/>
        <s v=" ₱7059.00 "/>
        <s v=" ₱7705.00 "/>
        <s v=" ₱8646.00 "/>
        <s v=" ₱10050.00 "/>
        <s v=" ₱14655.10 "/>
        <s v=" ₱14702.80 "/>
        <s v=" ₱14995.50 "/>
        <s v=" ₱15202.00 "/>
        <s v=" ₱23146.00 "/>
        <s v=" ₱31373.20 "/>
        <s v=" ₱39347.30 "/>
        <s v=" ₱40765.40 "/>
        <s v=" ₱45642.50 "/>
        <s v=" ₱147021.00 "/>
        <s v=" ₱2915.50 "/>
        <s v=" ₱5250.00 "/>
        <s v=" ₱6552.00 "/>
        <s v=" ₱16238.70 "/>
        <s v=" ₱16789.55 "/>
        <s v=" ₱17687.60 "/>
        <s v=" ₱98228.40 "/>
        <s v=" ₱3130.45 "/>
        <s v=" ₱3354.00 "/>
        <s v=" ₱10368.80 "/>
        <s v=" ₱1800.00 "/>
        <s v=" ₱2475.25 "/>
        <s v=" ₱4490.20 "/>
        <s v=" ₱7750.00 "/>
        <s v=" ₱8686.00 "/>
        <s v=" ₱8779.00 "/>
        <s v=" ₱3804.00 "/>
        <s v=" ₱4956.00 "/>
        <s v=" ₱20035.40 "/>
        <s v=" ₱103307.50 "/>
        <s v=" ₱3557.00 "/>
        <s v=" ₱4209.50 "/>
        <s v=" ₱5826.66 "/>
        <s v=" ₱10488.70 "/>
        <s v=" ₱11124.50 "/>
        <s v=" ₱15375.20 "/>
        <s v=" ₱25268.00 "/>
        <s v=" ₱432.50 "/>
        <s v=" ₱543.90 "/>
        <s v=" ₱2485.00 "/>
        <s v=" ₱2950.00 "/>
        <s v=" ₱3000.00 "/>
        <s v=" ₱4522.00 "/>
        <s v=" ₱10140.00 "/>
        <s v=" ₱10450.00 "/>
        <s v=" ₱34720.00 "/>
        <s v=" ₱640.50 "/>
        <s v=" ₱900.00 "/>
        <s v=" ₱8040.00 "/>
        <s v=" ₱10629.75 "/>
        <s v=" ₱11281.00 "/>
        <s v=" ₱26720.00 "/>
        <s v=" ₱29710.00 "/>
        <s v=" ₱440.00 "/>
        <s v=" ₱1200.00 "/>
      </sharedItems>
    </cacheField>
    <cacheField name="CreatedBy" numFmtId="49">
      <sharedItems>
        <s v="GRACE POLPOL"/>
        <s v="ANGELI SUMINGIT"/>
        <s v="Vivian Chavez"/>
      </sharedItems>
    </cacheField>
    <cacheField name="date2" databaseField="0">
      <fieldGroup base="3">
        <rangePr autoStart="0" autoEnd="0" groupBy="months" startDate="2023-11-20T00:00:00Z" endDate="2024-02-16T00:00:00Z"/>
        <groupItems>
          <s v="&lt;11/20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6/24"/>
        </groupItems>
      </fieldGroup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01" sheet="johnreyexcl"/>
  </cacheSource>
  <cacheFields>
    <cacheField name="OrderNbr" numFmtId="49">
      <sharedItems>
        <s v="SO00000687"/>
        <s v="SO00000012"/>
        <s v="SO00000005"/>
        <s v="SO00000028"/>
        <s v="SO00000021"/>
        <s v="SO00000026"/>
        <s v="SO00000020"/>
        <s v="SO00000013"/>
        <s v="SO00000097"/>
        <s v="SO00000071"/>
        <s v="SO00000096"/>
        <s v="SO00000070"/>
        <s v="SO00000103"/>
        <s v="SO00000146"/>
        <s v="SO00000117"/>
        <s v="SO00000124"/>
        <s v="SO00000121"/>
        <s v="SO00000172"/>
        <s v="SO00000196"/>
        <s v="SO00000168"/>
        <s v="SO00000179"/>
        <s v="SO00000219"/>
        <s v="SO00000190"/>
        <s v="SO00000275"/>
        <s v="SO00000262"/>
        <s v="SO00000263"/>
        <s v="SO00000265"/>
        <s v="SO00000266"/>
        <s v="SO00000245"/>
        <s v="SO00000247"/>
        <s v="SO00000296"/>
        <s v="SO00000313"/>
        <s v="SO00000337"/>
        <s v="SO00000334"/>
        <s v="SO00000357"/>
        <s v="SO00000364"/>
        <s v="SO00000342"/>
        <s v="SO00000346"/>
        <s v="SO00000402"/>
        <s v="SO00000399"/>
        <s v="SO00000403"/>
        <s v="SO00000405"/>
        <s v="SO00000398"/>
        <s v="SO00000436"/>
        <s v="SO00000434"/>
        <s v="SO00000437"/>
        <s v="SO00000243"/>
        <s v="SO00000464"/>
        <s v="SO00000463"/>
        <s v="SO00000488"/>
        <s v="SO00000498"/>
        <s v="SO00000510"/>
        <s v="SO00000518"/>
        <s v="SO00000501"/>
        <s v="SO00000514"/>
        <s v="SO00000515"/>
        <s v="SO00000527"/>
        <s v="SO00000500"/>
        <s v="SO00000535"/>
        <s v="SO00000538"/>
        <s v="SO00000540"/>
        <s v="SO00000566"/>
        <s v="SO00000530"/>
        <s v="SO00000573"/>
        <s v="SO00000572"/>
        <s v="SO00000589"/>
        <s v="SO00000616"/>
        <s v="SO00000621"/>
        <s v="SO00000677"/>
        <s v="SO00000690"/>
        <s v="SO00000662"/>
        <s v="SO00000663"/>
        <s v="SO00000682"/>
        <s v="SO00000684"/>
        <s v="SO00000660"/>
        <s v="SO00000692"/>
        <s v="SO00000701"/>
        <s v="SO00000730"/>
        <s v="SO00000702"/>
        <s v="SO00000707"/>
        <s v="SO00000735"/>
        <s v="SO00000717"/>
        <s v="SO00000709"/>
        <s v="SO00000728"/>
        <s v="SO00000723"/>
        <s v="SO00000729"/>
        <s v="SO00000739"/>
        <s v="SO00000750"/>
        <s v="SO00000759"/>
        <s v="SO00000758"/>
        <s v="SO00000788"/>
        <s v="SO00000789"/>
        <s v="SO00000755"/>
        <s v="SO00000801"/>
        <s v="SO00000803"/>
        <s v="SO00000754"/>
        <s v="SO00000752"/>
        <s v="SO00000814"/>
        <s v="SO00000835"/>
        <s v="SO00001532"/>
        <s v="SO00000855"/>
        <s v="SO00000861"/>
        <s v="SO00000854"/>
        <s v="SO00000853"/>
        <s v="SO00000869"/>
        <s v="SO00000881"/>
        <s v="SO00000914"/>
        <s v="SO00000889"/>
        <s v="SO00000905"/>
        <s v="SO00000896"/>
        <s v="SO00000909"/>
        <s v="SO00000920"/>
        <s v="SO00000938"/>
        <s v="SO00000921"/>
        <s v="SO00000922"/>
        <s v="SO00000935"/>
        <s v="SO00000943"/>
        <s v="SO00000948"/>
        <s v="SO00001562"/>
        <s v="SO00000976"/>
        <s v="SO00001000"/>
        <s v="SO00000978"/>
        <s v="SO00000966"/>
        <s v="SO00000979"/>
        <s v="SO00000970"/>
        <s v="SO00001011"/>
        <s v="SO00001001"/>
        <s v="SO00001003"/>
        <s v="SO00001008"/>
        <s v="SO00001048"/>
        <s v="SO00001038"/>
        <s v="SO00001047"/>
        <s v="SO00001101"/>
        <s v="SO00001089"/>
        <s v="SO00001092"/>
        <s v="SO00001098"/>
        <s v="SO00001097"/>
        <s v="SO00001096"/>
        <s v="SO00001068"/>
        <s v="SO00001061"/>
        <s v="SO00001099"/>
        <s v="SO00001095"/>
        <s v="SO00001085"/>
        <s v="SO00001082"/>
        <s v="SO00001093"/>
        <s v="SO00001091"/>
        <s v="SO00001100"/>
        <s v="SO00001064"/>
        <s v="SO00001063"/>
        <s v="SO00001067"/>
        <s v="SO00001066"/>
        <s v="SO00001073"/>
        <s v="SO00001090"/>
        <s v="SO00001131"/>
        <s v="SO00001105"/>
        <s v="SO00001168"/>
        <s v="SO00001108"/>
        <s v="SO00001172"/>
        <s v="SO00001109"/>
        <s v="SO00001165"/>
        <s v="SO00001184"/>
        <s v="SO00001185"/>
        <s v="SO00001174"/>
        <s v="SO00001225"/>
        <s v="SO00001207"/>
        <s v="SO00001232"/>
        <s v="SO00001208"/>
        <s v="SO00001240"/>
        <s v="SO00001233"/>
        <s v="SO00001235"/>
        <s v="SO00001258"/>
        <s v="SO00001246"/>
        <s v="SO00001251"/>
        <s v="SO00001250"/>
        <s v="SO00001279"/>
        <s v="SO00001274"/>
        <s v="SO00001296"/>
        <s v="SO00001354"/>
        <s v="SO00001282"/>
        <s v="SO00001297"/>
        <s v="SO00001304"/>
        <s v="SO00001370"/>
        <s v="SO00001371"/>
        <s v="SO00001321"/>
        <s v="SO00001316"/>
        <s v="SO00001319"/>
        <s v="SO00001346"/>
        <s v="SO00001345"/>
        <s v="SO00001328"/>
        <s v="SO00000458"/>
        <s v="SO00001373"/>
        <s v="SO00001378"/>
        <s v="SO00001401"/>
        <s v="SO00001410"/>
        <s v="SO00001382"/>
        <s v="SO00001402"/>
        <s v="SO00001379"/>
        <s v="SO00001436"/>
        <s v="SO00001442"/>
        <s v="SO00001324"/>
      </sharedItems>
    </cacheField>
    <cacheField name="Customer" numFmtId="4">
      <sharedItems containsSemiMixedTypes="0" containsString="0" containsNumber="1" containsInteger="1">
        <n v="1.250000116E9"/>
        <n v="1.250000505E9"/>
        <n v="1.250001764E9"/>
        <n v="1.250001496E9"/>
        <n v="1.200006565E9"/>
        <n v="1.250004966E9"/>
        <n v="1.250001142E9"/>
        <n v="1.200006417E9"/>
        <n v="1.250010315E9"/>
        <n v="1.250004938E9"/>
        <n v="1.250003997E9"/>
        <n v="1.250003421E9"/>
        <n v="1.200009067E9"/>
        <n v="1.250000118E9"/>
        <n v="1.250001741E9"/>
        <n v="1.200007688E9"/>
        <n v="1.250000913E9"/>
        <n v="1.250010259E9"/>
        <n v="1.250009502E9"/>
        <n v="1.250010233E9"/>
        <n v="1.250002203E9"/>
        <n v="1.250009745E9"/>
        <n v="1.20000892E9"/>
        <n v="1.20000789E9"/>
        <n v="1.250009892E9"/>
        <n v="1.250010341E9"/>
        <n v="1.250001348E9"/>
        <n v="1.250000034E9"/>
        <n v="1.250004887E9"/>
        <n v="1.250003753E9"/>
        <n v="1.250000438E9"/>
        <n v="1.200007409E9"/>
        <n v="1.250004371E9"/>
        <n v="1.200008426E9"/>
        <n v="1.250010348E9"/>
        <n v="1.250001319E9"/>
        <n v="1.250002059E9"/>
        <n v="1.250003015E9"/>
        <n v="1.25000178E9"/>
        <n v="1.200008537E9"/>
        <n v="1.250009423E9"/>
        <n v="1.200006917E9"/>
        <n v="1.250002653E9"/>
        <n v="1.250001178E9"/>
        <n v="1.250004411E9"/>
        <n v="1.200007752E9"/>
        <n v="1.220000614E9"/>
        <n v="1.200007686E9"/>
        <n v="1.250000164E9"/>
        <n v="1.200008786E9"/>
        <n v="1.250005019E9"/>
        <n v="1.250009576E9"/>
        <n v="1.200007818E9"/>
        <n v="1.250010352E9"/>
        <n v="1.250001276E9"/>
        <n v="1.200008869E9"/>
        <n v="1.200008243E9"/>
        <n v="1.250002423E9"/>
        <n v="1.250000147E9"/>
        <n v="1.250000629E9"/>
        <n v="1.250000255E9"/>
        <n v="1.250003683E9"/>
        <n v="1.250002297E9"/>
        <n v="1.200008027E9"/>
        <n v="1.200008447E9"/>
        <n v="1.250010361E9"/>
        <n v="1.25000382E9"/>
        <n v="1.250001434E9"/>
        <n v="1.250001628E9"/>
        <n v="1.200006583E9"/>
        <n v="1.250000535E9"/>
        <n v="1.250003004E9"/>
        <n v="1.200008365E9"/>
        <n v="1.250009301E9"/>
        <n v="1.250000104E9"/>
        <n v="1.200006187E9"/>
        <n v="1.200008778E9"/>
        <n v="1.250010029E9"/>
        <n v="1.25000339E9"/>
        <n v="1.250010303E9"/>
        <n v="1.2500031E9"/>
        <n v="1.250001755E9"/>
        <n v="1.250004611E9"/>
        <n v="1.250000094E9"/>
        <n v="1.25000326E9"/>
        <n v="1.250004201E9"/>
        <n v="1.250000174E9"/>
        <n v="1.250002839E9"/>
        <n v="1.250010137E9"/>
        <n v="1.250009305E9"/>
        <n v="1.250001513E9"/>
        <n v="1.250009984E9"/>
        <n v="1.25001033E9"/>
        <n v="1.250000191E9"/>
        <n v="1.250003924E9"/>
        <n v="1.250001192E9"/>
        <n v="1.250000103E9"/>
        <n v="1.25000248E9"/>
        <n v="1.200008893E9"/>
        <n v="1.200007456E9"/>
        <n v="1.2000083E9"/>
        <n v="1.250000077E9"/>
        <n v="1.250000288E9"/>
        <n v="1.250001499E9"/>
        <n v="1.250010373E9"/>
        <n v="1.250000742E9"/>
        <n v="1.25000167E9"/>
        <n v="1.250004426E9"/>
        <n v="1.250000452E9"/>
        <n v="1.250002755E9"/>
        <n v="1.250009928E9"/>
        <n v="1.250001273E9"/>
      </sharedItems>
    </cacheField>
    <cacheField name="CustomerName" numFmtId="49">
      <sharedItems>
        <s v="CITY GOVERNMENT OF DAVAO"/>
        <s v="STAR PAPER CORPORATION"/>
        <s v="STENIEL MINDANAO PACKAGING CORPORATION"/>
        <s v="COMFAC CORPORATION"/>
        <s v="NXTGEN TECHNOLOGIES INC"/>
        <s v="INFIMAX HEALTH PRODUCTS"/>
        <s v="DEPT. OF HUMAN SETTLEMENTS &amp; URBAN DEV'T"/>
        <s v="PHIL.FIBER INDUSTRY DEV'T AUTHORITY"/>
        <s v="HI5 SOLUTIONS OPC"/>
        <s v="B.P.I. - BAJADA (FRONTING CONPINCO)"/>
        <s v="INSULAR OIL CORPORATION"/>
        <s v="LAND BANK OF THE PHILS. - NABUNTURAN"/>
        <s v="IVN ENTERPRISES"/>
        <s v="KIM GUAN TRADING CO. INC."/>
        <s v="SPAMAST"/>
        <s v="ANTONIO'S GRILL"/>
        <s v="FAR EAST ASSOCIATES"/>
        <s v="LAND BANK - TORIL BRANCH"/>
        <s v="SIMC"/>
        <s v="HELPMATE INCORPORATED"/>
        <s v="EHB ENTERPRISES &amp; PRINTHAUS"/>
        <s v="ML PREMIUM RESOURCES CORP."/>
        <s v="ARM-G  INT'L. LOGISTIC INC."/>
        <s v="ASTROBUILT CONSTRUCTION &amp; DEVELOPMENT"/>
        <s v="EC GONZAGA ENTERPRISES"/>
        <s v="EQUINOX SYNERGY OPC"/>
        <s v="BANEXCO TRADERS INC."/>
        <s v="LAND BANK OF THE PHILS. - RAMON MAGSAYSAY"/>
        <s v="EZGAB CORPORATION"/>
        <s v="FOCUSINC GROUP CORP."/>
        <s v="CIVIL SERVICE COMMISSION-REG. XI"/>
        <s v="NAKASHIN DAVAO INTERNATIONAL INC."/>
        <s v="PNJK INC"/>
        <s v="B.P.I. -  HOUSING LOAN"/>
        <s v="LICSAL CONSTRUCTION CORP."/>
        <s v="REJOICE FAMILY FOODS"/>
        <s v="AGRI DAVAO INCORPORATED"/>
        <s v="CHARVERSON WOOD INDUSTRY INC."/>
        <s v="DAVAO CONCRETE POLES CORPORATION"/>
        <s v="KALINGAP PHARMACY"/>
        <s v="SILANGAN MULTI-PURPOSE COOPERATIVE - BUHANGIN"/>
        <s v="EAST WEST BANK - BAJADA  2FLR."/>
        <s v="TRINITAS FOOD CORP."/>
        <s v="MOTORMALL DAVAO CORPORATION"/>
        <s v="GREENKREATIONS INC."/>
        <s v="INNOBUILDTEK DEVELOPMENT INC"/>
        <s v="SUNFRESH AGRICULTURAL VENTURES INC."/>
        <s v="PHILIPS GLASS &amp; ALUMINUM SALES INC."/>
        <s v="AKTIV MULTI TRADING CO. PHILS. INC."/>
        <s v="KILOTRADE"/>
        <s v="SEADOVE MARITIME SERVICES INC."/>
        <s v="RBGM MEDICAL EXPRESS SALES INC."/>
        <s v="DEPT. OF TRADE &amp; INDUSTRY- RO-11"/>
        <s v="FIESTA  APPLIANCE CENTER INC."/>
        <s v="PHILIPPINE COCONUT AUTHORITY-REG.XI"/>
        <s v="GTM GET THINGS MOVING DISTRIBUTION INC."/>
        <s v="EAST WEST BANK - DAVAO AGDAO BRANCH"/>
        <s v="LAND BANK OF THE PHILIPPINES - MATI BRANCH"/>
        <s v="MALAYAN INSURANCE COMPANY INC."/>
        <s v="NATIONAL POLICE COMMISSION"/>
        <s v="DEPARTMENT OF TOURISM"/>
        <s v="JATHNIER CORPORATION"/>
        <s v="LAND BANK OF THE PHILS.-BANSALAN BRANCH"/>
        <s v="B.P.I. - LANANG"/>
        <s v="HAFELE PHILIPPINES INC."/>
        <s v="JLP DESIGN"/>
        <s v="GOLDEN BALES CORPORATION"/>
        <s v="DIGOS WATER DISTRICT"/>
        <s v="EAST WEST BANK"/>
        <s v="DAVAO FIBREBOARD PACKAGING PLANT INC."/>
        <s v="JEWM AGRO-INDUSTRIAL CORPORATION"/>
        <s v="MINDANAO KOKUSAI DAIGAKU"/>
        <s v="STERLING BANK OF ASIA - BAJADA"/>
        <s v="FELY M. MORATA CUSTOM BROKERAGE SERVICES"/>
        <s v="UNIVERSITY OF SOUTHEASTERN PHILS."/>
        <s v="INSURANCE COMMISSION"/>
        <s v="RV BAYANIHAN LENDING"/>
        <s v="PANORAMA SUMMIT HOTEL"/>
        <s v="ASIAGLOBAL TECHNOLOGIES INC."/>
        <s v="AMERICARES FOUNDATION INC."/>
        <s v="AFP &amp; POLICE SAVINGS LOAN ASSN (AFPSLAI)"/>
        <s v="HEAD CORPORATION"/>
        <s v="IGACOS WATER DISTRICT"/>
        <s v="UNIVERSITY OF SOUTHERN MINDANAO"/>
        <s v="HAVEN UNITED DEV'T. CORPORATION"/>
        <s v="KABACAN WATER DISTRICT"/>
        <s v="DAVAO GENERAL HARDWARE COMPANY"/>
        <s v="MUNICIPALITY OF LUPON - LGU"/>
        <s v="KENNEMER FOODS INTERNATIONAL INC."/>
        <s v="F.S. DIZON &amp; SONS INC."/>
        <s v="MINES AND GEOSCIENCES BUREAU-RXI"/>
        <s v="SOUTHERN HARVEST INCORPORATED"/>
        <s v="TRANSNATIONAL AVIATION SUPPORT SERVICES"/>
        <s v="NATIONAL CONCILIATION AND MEDIAT'N BOARD"/>
        <s v="AUTOKID SOUTH MINDANAO CORP."/>
        <s v="DEPARTMENT OF BUDGET &amp; MANAGEMENT"/>
        <s v="COMMISSION ON AUDIT"/>
        <s v="AMESCO DRUG CORPORATION"/>
        <s v="CONSULATE GENERAL OF JAPAN"/>
        <s v="NATIONAL FOOD AUTHORITY - TAGUM"/>
        <s v="AMALGATED CAPITAL INCORPORATED"/>
        <s v="MUNICIPALITY OF KABACAN"/>
        <s v="ASSUMPTION COLLEGE OF DAVAO INC"/>
        <s v="SF &amp; F TRUCKING SERVICES"/>
        <s v="DEPARTMENT OF SOCIAL WELFARE &amp; DEVT"/>
        <s v="MABUHAY WAREHOUSE"/>
        <s v="CHEVRON PHILIPPINES INC. (FORMER CALTEX)"/>
        <s v="SHIMADZU PHILS. CORP"/>
        <s v="MARITIME INDUSTRY AUTHORITY"/>
        <s v="LAND BANK OF THE PHILS. - PANABO"/>
        <s v="DAVAO EYEMDS LASER AND SURGERY CENTER"/>
        <s v="MILLENNIUM SPECIALTY COCO PRODUCTSINC."/>
      </sharedItems>
    </cacheField>
    <cacheField name="Date" numFmtId="165">
      <sharedItems containsSemiMixedTypes="0" containsDate="1" containsString="0">
        <d v="2023-11-20T00:00:00Z"/>
        <d v="2024-01-03T00:00:00Z"/>
        <d v="2024-01-04T00:00:00Z"/>
        <d v="2024-01-05T00:00:00Z"/>
        <d v="2024-01-08T00:00:00Z"/>
        <d v="2024-01-09T00:00:00Z"/>
        <d v="2024-01-10T00:00:00Z"/>
        <d v="2024-01-11T00:00:00Z"/>
        <d v="2024-01-12T00:00:00Z"/>
        <d v="2024-01-13T00:00:00Z"/>
        <d v="2024-01-15T00:00:00Z"/>
        <d v="2024-01-16T00:00:00Z"/>
        <d v="2024-01-17T00:00:00Z"/>
        <d v="2024-01-18T00:00:00Z"/>
        <d v="2024-01-19T00:00:00Z"/>
        <d v="2024-01-22T00:00:00Z"/>
        <d v="2024-01-23T00:00:00Z"/>
        <d v="2024-01-24T00:00:00Z"/>
        <d v="2024-01-25T00:00:00Z"/>
        <d v="2024-01-26T00:00:00Z"/>
        <d v="2024-01-27T00:00:00Z"/>
        <d v="2024-01-29T00:00:00Z"/>
        <d v="2024-01-30T00:00:00Z"/>
        <d v="2024-01-31T00:00:00Z"/>
        <d v="2024-02-01T00:00:00Z"/>
        <d v="2024-02-02T00:00:00Z"/>
        <d v="2024-02-03T00:00:00Z"/>
        <d v="2024-02-05T00:00:00Z"/>
        <d v="2024-02-06T00:00:00Z"/>
        <d v="2024-02-07T00:00:00Z"/>
        <d v="2024-02-08T00:00:00Z"/>
        <d v="2024-02-09T00:00:00Z"/>
        <d v="2024-02-12T00:00:00Z"/>
        <d v="2024-02-13T00:00:00Z"/>
        <d v="2024-02-14T00:00:00Z"/>
        <d v="2024-02-15T00:00:00Z"/>
      </sharedItems>
    </cacheField>
    <cacheField name="OrderTotal" numFmtId="49">
      <sharedItems>
        <s v="₱4372.25"/>
        <s v="₱1362.00"/>
        <s v="₱1500.00"/>
        <s v="₱1916.00"/>
        <s v="₱2148.80"/>
        <s v="₱2365.80"/>
        <s v="₱2367.50"/>
        <s v="₱38256.00"/>
        <s v="₱1600.00"/>
        <s v="₱4762.10"/>
        <s v="₱5265.00"/>
        <s v="₱51900.00"/>
        <s v="₱2060.00"/>
        <s v="₱4097.50"/>
        <s v="₱6230.00"/>
        <s v="₱44970.00"/>
        <s v="₱525.30"/>
        <s v="₱2265.45"/>
        <s v="₱3256.00"/>
        <s v="₱4400.60"/>
        <s v="₱8254.15"/>
        <s v="₱111000.00"/>
        <s v="₱765.00"/>
        <s v="₱1525.00"/>
        <s v="₱2050.00"/>
        <s v="₱3571.75"/>
        <s v="₱5151.00"/>
        <s v="₱7885.30"/>
        <s v="₱10250.50"/>
        <s v="₱16973.25"/>
        <s v="₱1154.00"/>
        <s v="₱3031.50"/>
        <s v="₱4490.40"/>
        <s v="₱10550.00"/>
        <s v="₱744.00"/>
        <s v="₱1873.10"/>
        <s v="₱1995.50"/>
        <s v="₱2113.60"/>
        <s v="₱4800.00"/>
        <s v="₱711.00"/>
        <s v="₱1289.35"/>
        <s v="₱1806.00"/>
        <s v="₱3700.80"/>
        <s v="₱3720.00"/>
        <s v="₱5500.00"/>
        <s v="₱15998.00"/>
        <s v="₱324.00"/>
        <s v="₱569.80"/>
        <s v="₱1172.00"/>
        <s v="₱2526.50"/>
        <s v="₱2759.80"/>
        <s v="₱3290.00"/>
        <s v="₱3818.70"/>
        <s v="₱4312.00"/>
        <s v="₱773.00"/>
        <s v="₱2586.00"/>
        <s v="₱3382.85"/>
        <s v="₱4384.50"/>
        <s v="₱5596.00"/>
        <s v="₱3488.50"/>
        <s v="₱5588.50"/>
        <s v="₱28093.60"/>
        <s v="₱1762.00"/>
        <s v="₱4819.00"/>
        <s v="₱779.25"/>
        <s v="₱1710.30"/>
        <s v="₱2200.00"/>
        <s v="₱3251.00"/>
        <s v="₱10168.00"/>
        <s v="₱10316.40"/>
        <s v="₱21920.00"/>
        <s v="₱27978.00"/>
        <s v="₱240.00"/>
        <s v="₱799.00"/>
        <s v="₱1316.00"/>
        <s v="₱2122.00"/>
        <s v="₱2485.85"/>
        <s v="₱7782.50"/>
        <s v="₱13562.70"/>
        <s v="₱16200.00"/>
        <s v="₱33650.00"/>
        <s v="₱47250.00"/>
        <s v="₱105000.00"/>
        <s v="₱1048.00"/>
        <s v="₱1100.00"/>
        <s v="₱1686.00"/>
        <s v="₱4562.00"/>
        <s v="₱4700.00"/>
        <s v="₱11901.40"/>
        <s v="₱12300.00"/>
        <s v="₱13000.00"/>
        <s v="₱16466.00"/>
        <s v="₱18387.75"/>
        <s v="₱966.00"/>
        <s v="₱19060.50"/>
        <s v="₱1099.00"/>
        <s v="₱3280.00"/>
        <s v="₱5900.00"/>
        <s v="₱10831.50"/>
        <s v="₱903.92"/>
        <s v="₱1804.00"/>
        <s v="₱7650.00"/>
        <s v="₱8128.00"/>
        <s v="₱17417.00"/>
        <s v="₱22725.00"/>
        <s v="₱45360.00"/>
        <s v="₱990.00"/>
        <s v="₱3305.00"/>
        <s v="₱4807.00"/>
        <s v="₱5732.00"/>
        <s v="₱10990.00"/>
        <s v="₱4236.55"/>
        <s v="₱7140.00"/>
        <s v="₱365925.00"/>
        <s v="₱227.00"/>
        <s v="₱1537.20"/>
        <s v="₱3157.00"/>
        <s v="₱6180.50"/>
        <s v="₱12195.80"/>
        <s v="₱1080.00"/>
        <s v="₱20494.75"/>
        <s v="₱50228.00"/>
        <s v="₱1292.30"/>
        <s v="₱1305.00"/>
        <s v="₱14750.00"/>
        <s v="₱1700.00"/>
        <s v="₱2196.00"/>
        <s v="₱2404.50"/>
        <s v="₱2850.00"/>
        <s v="₱4977.00"/>
        <s v="₱5300.00"/>
        <s v="₱5969.10"/>
        <s v="₱7059.00"/>
        <s v="₱7705.00"/>
        <s v="₱8646.00"/>
        <s v="₱10050.00"/>
        <s v="₱14655.10"/>
        <s v="₱14702.80"/>
        <s v="₱14995.50"/>
        <s v="₱15202.00"/>
        <s v="₱23146.00"/>
        <s v="₱31373.20"/>
        <s v="₱39347.30"/>
        <s v="₱40765.40"/>
        <s v="₱45642.50"/>
        <s v="₱147021.00"/>
        <s v="₱2915.50"/>
        <s v="₱5250.00"/>
        <s v="₱6552.00"/>
        <s v="₱16238.70"/>
        <s v="₱16789.55"/>
        <s v="₱17687.60"/>
        <s v="₱98228.40"/>
        <s v="₱3130.45"/>
        <s v="₱3354.00"/>
        <s v="₱10368.80"/>
        <s v="₱1800.00"/>
        <s v="₱2475.25"/>
        <s v="₱4490.20"/>
        <s v="₱7750.00"/>
        <s v="₱8686.00"/>
        <s v="₱8779.00"/>
        <s v="₱3804.00"/>
        <s v="₱4956.00"/>
        <s v="₱20035.40"/>
        <s v="₱103307.50"/>
        <s v="₱3557.00"/>
        <s v="₱4209.50"/>
        <s v="₱5826.66"/>
        <s v="₱10488.70"/>
        <s v="₱11124.50"/>
        <s v="₱15375.20"/>
        <s v="₱25268.00"/>
        <s v="₱432.50"/>
        <s v="₱543.90"/>
        <s v="₱2485.00"/>
        <s v="₱2950.00"/>
        <s v="₱3000.00"/>
        <s v="₱4522.00"/>
        <s v="₱10140.00"/>
        <s v="₱10450.00"/>
        <s v="₱34720.00"/>
        <s v="₱640.50"/>
        <s v="₱900.00"/>
        <s v="₱8040.00"/>
        <s v="₱10629.75"/>
        <s v="₱11281.00"/>
        <s v="₱26720.00"/>
        <s v="₱29710.00"/>
        <s v="₱440.00"/>
        <s v="₱1200.00"/>
      </sharedItems>
    </cacheField>
    <cacheField name="CreatedBy" numFmtId="49">
      <sharedItems>
        <s v="GRACE POLPOL"/>
        <s v="ANGELI SUMINGIT"/>
        <s v="Vivian Chavez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E1000" sheet="Rhea"/>
  </cacheSource>
  <cacheFields>
    <cacheField name="CustomerName" numFmtId="0">
      <sharedItems containsBlank="1">
        <s v="CITY GOVERNMENT OF DAVAO"/>
        <s v="STAR PAPER CORPORATION"/>
        <s v="STENIEL MINDANAO PACKAGING CORPORATION"/>
        <s v="COMFAC CORPORATION"/>
        <s v="NXTGEN TECHNOLOGIES INC"/>
        <s v="INFIMAX HEALTH PRODUCTS"/>
        <s v="DEPT. OF HUMAN SETTLEMENTS &amp; URBAN DEV'T"/>
        <s v="PHIL.FIBER INDUSTRY DEV'T AUTHORITY"/>
        <s v="HI5 SOLUTIONS OPC"/>
        <s v="B.P.I. - BAJADA (FRONTING CONPINCO)"/>
        <s v="INSULAR OIL CORPORATION"/>
        <s v="LAND BANK OF THE PHILS. - NABUNTURAN"/>
        <s v="IVN ENTERPRISES"/>
        <s v="KIM GUAN TRADING CO. INC."/>
        <s v="SPAMAST"/>
        <s v="ANTONIO'S GRILL"/>
        <s v="FAR EAST ASSOCIATES"/>
        <s v="LAND BANK - TORIL BRANCH"/>
        <s v="SIMC"/>
        <s v="HELPMATE INCORPORATED"/>
        <s v="EHB ENTERPRISES &amp; PRINTHAUS"/>
        <s v="ML PREMIUM RESOURCES CORP."/>
        <s v="ARM-G INT'L. LOGISTIC INC."/>
        <s v="ASTROBUILT CONSTRUCTION &amp; DEVELOPMENT"/>
        <s v="EC GONZAGA ENTERPRISES"/>
        <s v="EQUINOX SYNERGY OPC"/>
        <s v="BANEXCO TRADERS INC."/>
        <s v="LAND BANK OF THE PHILS. - RAMON MAGSAYSAY"/>
        <s v="EZGAB CORPORATION"/>
        <s v="FOCUSINC GROUP CORP."/>
        <s v="CIVIL SERVICE COMMISSION-REG. XI"/>
        <s v="NAKASHIN DAVAO INTERNATIONAL INC."/>
        <s v="PNJK INC"/>
        <s v="B.P.I. - HOUSING LOAN"/>
        <s v="LICSAL CONSTRUCTION CORP."/>
        <s v="REJOICE FAMILY FOODS"/>
        <s v="AGRI DAVAO INCORPORATED"/>
        <s v="CHARVERSON WOOD INDUSTRY INC."/>
        <s v="DAVAO CONCRETE POLES CORPORATION"/>
        <s v="KALINGAP PHARMACY"/>
        <s v="SILANGAN MULTI-PURPOSE COOPERATIVE - BUHANGIN"/>
        <s v="EAST WEST BANK - BAJADA 2FLR."/>
        <s v="TRINITAS FOOD CORP."/>
        <s v="MOTORMALL DAVAO CORPORATION"/>
        <s v="GREENKREATIONS INC."/>
        <s v="INNOBUILDTEK DEVELOPMENT INC"/>
        <s v="SUNFRESH AGRICULTURAL VENTURES INC."/>
        <s v="PHILIPS GLASS &amp; ALUMINUM SALES INC."/>
        <s v="AKTIV MULTI TRADING CO. PHILS. INC."/>
        <s v="KILOTRADE"/>
        <s v="SEADOVE MARITIME SERVICES INC."/>
        <s v="RBGM MEDICAL EXPRESS SALES INC."/>
        <s v="DEPT. OF TRADE &amp; INDUSTRY- RO-11"/>
        <s v="FIESTA APPLIANCE CENTER INC."/>
        <s v="PHILIPPINE COCONUT AUTHORITY-REG.XI"/>
        <s v="GTM GET THINGS MOVING DISTRIBUTION INC."/>
        <s v="EAST WEST BANK - DAVAO AGDAO BRANCH"/>
        <s v="LAND BANK OF THE PHILIPPINES - MATI BRANCH"/>
        <s v="MALAYAN INSURANCE COMPANY INC."/>
        <s v="NATIONAL POLICE COMMISSION"/>
        <s v="DEPARTMENT OF TOURISM"/>
        <s v="JATHNIER CORPORATION"/>
        <s v="LAND BANK OF THE PHILS.-BANSALAN BRANCH"/>
        <s v="B.P.I. - LANANG"/>
        <s v="HAFELE PHILIPPINES INC."/>
        <s v="JLP DESIGN"/>
        <s v="GOLDEN BALES CORPORATION"/>
        <s v="DIGOS WATER DISTRICT"/>
        <s v="EAST WEST BANK"/>
        <s v="DAVAO FIBREBOARD PACKAGING PLANT INC."/>
        <s v="JEWM AGRO-INDUSTRIAL CORPORATION"/>
        <s v="MINDANAO KOKUSAI DAIGAKU"/>
        <s v="STERLING BANK OF ASIA - BAJADA"/>
        <s v="FELY M. MORATA CUSTOM BROKERAGE SERVICES"/>
        <s v="UNIVERSITY OF SOUTHEASTERN PHILS."/>
        <s v="INSURANCE COMMISSION"/>
        <s v="RV BAYANIHAN LENDING"/>
        <s v="PANORAMA SUMMIT HOTEL"/>
        <s v="ASIAGLOBAL TECHNOLOGIES INC."/>
        <s v="AMERICARES FOUNDATION INC."/>
        <s v="AFP &amp; POLICE SAVINGS LOAN ASSN (AFPSLAI)"/>
        <s v="HEAD CORPORATION"/>
        <s v="IGACOS WATER DISTRICT"/>
        <s v="UNIVERSITY OF SOUTHERN MINDANAO"/>
        <s v="HAVEN UNITED DEV'T. CORPORATION"/>
        <s v="KABACAN WATER DISTRICT"/>
        <s v="DAVAO GENERAL HARDWARE COMPANY"/>
        <s v="MUNICIPALITY OF LUPON - LGU"/>
        <s v="KENNEMER FOODS INTERNATIONAL INC."/>
        <s v="F.S. DIZON &amp; SONS INC."/>
        <s v="MINES AND GEOSCIENCES BUREAU-RXI"/>
        <s v="SOUTHERN HARVEST INCORPORATED"/>
        <s v="TRANSNATIONAL AVIATION SUPPORT SERVICES"/>
        <s v="NATIONAL CONCILIATION AND MEDIAT'N BOARD"/>
        <s v="AUTOKID SOUTH MINDANAO CORP."/>
        <s v="DEPARTMENT OF BUDGET &amp; MANAGEMENT"/>
        <s v="COMMISSION ON AUDIT"/>
        <s v="AMESCO DRUG CORPORATION"/>
        <s v="CONSULATE GENERAL OF JAPAN"/>
        <s v="NATIONAL FOOD AUTHORITY - TAGUM"/>
        <s v="AMALGATED CAPITAL INCORPORATED"/>
        <s v="MUNICIPALITY OF KABACAN"/>
        <s v="ASSUMPTION COLLEGE OF DAVAO INC"/>
        <s v="SF &amp; F TRUCKING SERVICES"/>
        <s v="DEPARTMENT OF SOCIAL WELFARE &amp; DEVT"/>
        <s v="MABUHAY WAREHOUSE"/>
        <s v="CHEVRON PHILIPPINES INC. (FORMER CALTEX)"/>
        <s v="SHIMADZU PHILS. CORP"/>
        <s v="MARITIME INDUSTRY AUTHORITY"/>
        <s v="LAND BANK OF THE PHILS. - PANABO"/>
        <s v="DAVAO EYEMDS LASER AND SURGERY CENTER"/>
        <s v="MILLENNIUM SPECIALTY COCO PRODUCTSINC."/>
        <m/>
      </sharedItems>
    </cacheField>
    <cacheField name="Date" numFmtId="164">
      <sharedItems containsNonDate="0" containsDate="1" containsString="0" containsBlank="1">
        <d v="2023-11-20T00:00:00Z"/>
        <d v="2024-01-03T00:00:00Z"/>
        <d v="2024-01-04T00:00:00Z"/>
        <d v="2024-01-05T00:00:00Z"/>
        <d v="2024-01-08T00:00:00Z"/>
        <d v="2024-01-09T00:00:00Z"/>
        <d v="2024-01-10T00:00:00Z"/>
        <d v="2024-01-11T00:00:00Z"/>
        <d v="2024-01-12T00:00:00Z"/>
        <d v="2024-01-13T00:00:00Z"/>
        <d v="2024-01-15T00:00:00Z"/>
        <d v="2024-01-16T00:00:00Z"/>
        <d v="2024-01-17T00:00:00Z"/>
        <d v="2024-01-18T00:00:00Z"/>
        <d v="2024-01-19T00:00:00Z"/>
        <d v="2024-01-22T00:00:00Z"/>
        <d v="2024-01-23T00:00:00Z"/>
        <d v="2024-01-24T00:00:00Z"/>
        <d v="2024-01-25T00:00:00Z"/>
        <d v="2024-01-26T00:00:00Z"/>
        <d v="2024-01-27T00:00:00Z"/>
        <d v="2024-01-29T00:00:00Z"/>
        <d v="2024-01-30T00:00:00Z"/>
        <d v="2024-01-31T00:00:00Z"/>
        <d v="2024-02-01T00:00:00Z"/>
        <d v="2024-02-02T00:00:00Z"/>
        <d v="2024-02-03T00:00:00Z"/>
        <d v="2024-02-05T00:00:00Z"/>
        <d v="2024-02-06T00:00:00Z"/>
        <d v="2024-02-07T00:00:00Z"/>
        <d v="2024-02-08T00:00:00Z"/>
        <d v="2024-02-09T00:00:00Z"/>
        <d v="2024-02-12T00:00:00Z"/>
        <d v="2024-02-13T00:00:00Z"/>
        <d v="2024-02-14T00:00:00Z"/>
        <d v="2024-02-15T00:00:00Z"/>
        <m/>
      </sharedItems>
      <fieldGroup par="4"/>
    </cacheField>
    <cacheField name="OrderTotal" numFmtId="2">
      <sharedItems containsString="0" containsBlank="1" containsNumber="1">
        <n v="4372.25"/>
        <n v="1362.0"/>
        <n v="1500.0"/>
        <n v="1916.0"/>
        <n v="2148.8"/>
        <n v="2365.8"/>
        <n v="2367.5"/>
        <n v="38256.0"/>
        <n v="1600.0"/>
        <n v="4762.1"/>
        <n v="5265.0"/>
        <n v="51900.0"/>
        <n v="2060.0"/>
        <n v="4097.5"/>
        <n v="6230.0"/>
        <n v="44970.0"/>
        <n v="525.3"/>
        <n v="2265.45"/>
        <n v="3256.0"/>
        <n v="4400.6"/>
        <n v="8254.15"/>
        <n v="111000.0"/>
        <n v="765.0"/>
        <n v="1525.0"/>
        <n v="2050.0"/>
        <n v="3571.75"/>
        <n v="5151.0"/>
        <n v="7885.3"/>
        <n v="10250.5"/>
        <n v="16973.25"/>
        <n v="1154.0"/>
        <n v="3031.5"/>
        <n v="4490.4"/>
        <n v="10550.0"/>
        <n v="744.0"/>
        <n v="1873.1"/>
        <n v="1995.5"/>
        <n v="2113.6"/>
        <n v="4800.0"/>
        <n v="711.0"/>
        <n v="1289.35"/>
        <n v="1806.0"/>
        <n v="3700.8"/>
        <n v="3720.0"/>
        <n v="5500.0"/>
        <n v="15998.0"/>
        <n v="324.0"/>
        <n v="569.8"/>
        <n v="1172.0"/>
        <n v="2526.5"/>
        <n v="2759.8"/>
        <n v="3290.0"/>
        <n v="3818.7"/>
        <n v="4312.0"/>
        <n v="773.0"/>
        <n v="2586.0"/>
        <n v="3382.85"/>
        <n v="4384.5"/>
        <n v="5596.0"/>
        <n v="3488.5"/>
        <n v="5588.5"/>
        <n v="28093.6"/>
        <n v="1762.0"/>
        <n v="4819.0"/>
        <n v="779.25"/>
        <n v="1710.3"/>
        <n v="2200.0"/>
        <n v="3251.0"/>
        <n v="10168.0"/>
        <n v="10316.4"/>
        <n v="21920.0"/>
        <n v="27978.0"/>
        <n v="240.0"/>
        <n v="799.0"/>
        <n v="1316.0"/>
        <n v="2122.0"/>
        <n v="2485.85"/>
        <n v="7782.5"/>
        <n v="13562.7"/>
        <n v="16200.0"/>
        <n v="33650.0"/>
        <n v="47250.0"/>
        <n v="105000.0"/>
        <n v="1048.0"/>
        <n v="1100.0"/>
        <n v="1686.0"/>
        <n v="4562.0"/>
        <n v="4700.0"/>
        <n v="11901.4"/>
        <n v="12300.0"/>
        <n v="13000.0"/>
        <n v="16466.0"/>
        <n v="18387.75"/>
        <n v="966.0"/>
        <n v="19060.5"/>
        <n v="1099.0"/>
        <n v="3280.0"/>
        <n v="5900.0"/>
        <n v="10831.5"/>
        <n v="903.92"/>
        <n v="1804.0"/>
        <n v="7650.0"/>
        <n v="8128.0"/>
        <n v="17417.0"/>
        <n v="22725.0"/>
        <n v="45360.0"/>
        <n v="990.0"/>
        <n v="3305.0"/>
        <n v="4807.0"/>
        <n v="5732.0"/>
        <n v="10990.0"/>
        <n v="4236.55"/>
        <n v="7140.0"/>
        <n v="365925.0"/>
        <n v="227.0"/>
        <n v="1537.2"/>
        <n v="3157.0"/>
        <n v="6180.5"/>
        <n v="12195.8"/>
        <n v="1080.0"/>
        <n v="20494.75"/>
        <n v="50228.0"/>
        <n v="1292.3"/>
        <n v="1305.0"/>
        <n v="14750.0"/>
        <n v="1700.0"/>
        <n v="2196.0"/>
        <n v="2404.5"/>
        <n v="2850.0"/>
        <n v="4977.0"/>
        <n v="5300.0"/>
        <n v="5969.1"/>
        <n v="7059.0"/>
        <n v="7705.0"/>
        <n v="8646.0"/>
        <n v="10050.0"/>
        <n v="14655.1"/>
        <n v="14702.8"/>
        <n v="14995.5"/>
        <n v="15202.0"/>
        <n v="23146.0"/>
        <n v="31373.2"/>
        <n v="39347.3"/>
        <n v="40765.4"/>
        <n v="45642.5"/>
        <n v="147021.0"/>
        <n v="2915.5"/>
        <n v="5250.0"/>
        <n v="6552.0"/>
        <n v="16238.7"/>
        <n v="16789.55"/>
        <n v="17687.6"/>
        <n v="98228.4"/>
        <n v="3130.45"/>
        <n v="3354.0"/>
        <n v="10368.8"/>
        <n v="1800.0"/>
        <n v="2475.25"/>
        <n v="4490.2"/>
        <n v="7750.0"/>
        <n v="8686.0"/>
        <n v="8779.0"/>
        <n v="3804.0"/>
        <n v="4956.0"/>
        <n v="20035.4"/>
        <n v="103307.5"/>
        <n v="3557.0"/>
        <n v="4209.5"/>
        <n v="5826.66"/>
        <n v="10488.7"/>
        <n v="11124.5"/>
        <n v="15375.2"/>
        <n v="25268.0"/>
        <n v="432.5"/>
        <n v="543.9"/>
        <n v="2485.0"/>
        <n v="2950.0"/>
        <n v="3000.0"/>
        <n v="4522.0"/>
        <n v="10140.0"/>
        <n v="10450.0"/>
        <n v="34720.0"/>
        <n v="640.5"/>
        <n v="900.0"/>
        <n v="8040.0"/>
        <n v="10629.75"/>
        <n v="11281.0"/>
        <n v="26720.0"/>
        <n v="29710.0"/>
        <n v="440.0"/>
        <n v="1200.0"/>
        <m/>
      </sharedItems>
    </cacheField>
    <cacheField name="date2" databaseField="0">
      <fieldGroup base="1">
        <rangePr autoStart="0" autoEnd="0" groupBy="months" startDate="2023-11-20T00:00:00Z" endDate="2024-02-16T00:00:00Z"/>
        <groupItems>
          <s v="&lt;11/20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6/24"/>
        </groupItems>
      </fieldGroup>
    </cacheField>
    <cacheField name="date3" databaseField="0">
      <fieldGroup base="1">
        <rangePr autoStart="0" autoEnd="0" groupBy="quarters" startDate="2023-11-20T00:00:00Z" endDate="2024-02-16T00:00:00Z"/>
        <groupItems>
          <s v="&lt;11/20/23"/>
          <s v="Qtr1"/>
          <s v="Qtr2"/>
          <s v="Qtr3"/>
          <s v="Qtr4"/>
          <s v="&gt;02/16/24"/>
        </groupItems>
      </fieldGroup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01" sheet="John 2"/>
  </cacheSource>
  <cacheFields>
    <cacheField name="OrderNbr" numFmtId="49">
      <sharedItems>
        <s v="SO00000687"/>
        <s v="SO00000012"/>
        <s v="SO00000005"/>
        <s v="SO00000028"/>
        <s v="SO00000021"/>
        <s v="SO00000026"/>
        <s v="SO00000020"/>
        <s v="SO00000013"/>
        <s v="SO00000097"/>
        <s v="SO00000071"/>
        <s v="SO00000096"/>
        <s v="SO00000070"/>
        <s v="SO00000103"/>
        <s v="SO00000146"/>
        <s v="SO00000117"/>
        <s v="SO00000124"/>
        <s v="SO00000121"/>
        <s v="SO00000172"/>
        <s v="SO00000196"/>
        <s v="SO00000168"/>
        <s v="SO00000179"/>
        <s v="SO00000219"/>
        <s v="SO00000190"/>
        <s v="SO00000275"/>
        <s v="SO00000262"/>
        <s v="SO00000263"/>
        <s v="SO00000265"/>
        <s v="SO00000266"/>
        <s v="SO00000245"/>
        <s v="SO00000247"/>
        <s v="SO00000296"/>
        <s v="SO00000313"/>
        <s v="SO00000337"/>
        <s v="SO00000334"/>
        <s v="SO00000357"/>
        <s v="SO00000364"/>
        <s v="SO00000342"/>
        <s v="SO00000346"/>
        <s v="SO00000402"/>
        <s v="SO00000399"/>
        <s v="SO00000403"/>
        <s v="SO00000405"/>
        <s v="SO00000398"/>
        <s v="SO00000436"/>
        <s v="SO00000434"/>
        <s v="SO00000437"/>
        <s v="SO00000243"/>
        <s v="SO00000464"/>
        <s v="SO00000463"/>
        <s v="SO00000488"/>
        <s v="SO00000498"/>
        <s v="SO00000510"/>
        <s v="SO00000518"/>
        <s v="SO00000501"/>
        <s v="SO00000514"/>
        <s v="SO00000515"/>
        <s v="SO00000527"/>
        <s v="SO00000500"/>
        <s v="SO00000535"/>
        <s v="SO00000538"/>
        <s v="SO00000540"/>
        <s v="SO00000566"/>
        <s v="SO00000530"/>
        <s v="SO00000573"/>
        <s v="SO00000572"/>
        <s v="SO00000589"/>
        <s v="SO00000616"/>
        <s v="SO00000621"/>
        <s v="SO00000677"/>
        <s v="SO00000690"/>
        <s v="SO00000662"/>
        <s v="SO00000663"/>
        <s v="SO00000682"/>
        <s v="SO00000684"/>
        <s v="SO00000660"/>
        <s v="SO00000692"/>
        <s v="SO00000701"/>
        <s v="SO00000730"/>
        <s v="SO00000702"/>
        <s v="SO00000707"/>
        <s v="SO00000735"/>
        <s v="SO00000717"/>
        <s v="SO00000709"/>
        <s v="SO00000728"/>
        <s v="SO00000723"/>
        <s v="SO00000729"/>
        <s v="SO00000739"/>
        <s v="SO00000750"/>
        <s v="SO00000759"/>
        <s v="SO00000758"/>
        <s v="SO00000788"/>
        <s v="SO00000789"/>
        <s v="SO00000755"/>
        <s v="SO00000801"/>
        <s v="SO00000803"/>
        <s v="SO00000754"/>
        <s v="SO00000752"/>
        <s v="SO00000814"/>
        <s v="SO00000835"/>
        <s v="SO00001532"/>
        <s v="SO00000855"/>
        <s v="SO00000861"/>
        <s v="SO00000854"/>
        <s v="SO00000853"/>
        <s v="SO00000869"/>
        <s v="SO00000881"/>
        <s v="SO00000914"/>
        <s v="SO00000889"/>
        <s v="SO00000905"/>
        <s v="SO00000896"/>
        <s v="SO00000909"/>
        <s v="SO00000920"/>
        <s v="SO00000938"/>
        <s v="SO00000921"/>
        <s v="SO00000922"/>
        <s v="SO00000935"/>
        <s v="SO00000943"/>
        <s v="SO00000948"/>
        <s v="SO00001562"/>
        <s v="SO00000976"/>
        <s v="SO00001000"/>
        <s v="SO00000978"/>
        <s v="SO00000966"/>
        <s v="SO00000979"/>
        <s v="SO00000970"/>
        <s v="SO00001011"/>
        <s v="SO00001001"/>
        <s v="SO00001003"/>
        <s v="SO00001008"/>
        <s v="SO00001048"/>
        <s v="SO00001038"/>
        <s v="SO00001047"/>
        <s v="SO00001101"/>
        <s v="SO00001089"/>
        <s v="SO00001092"/>
        <s v="SO00001098"/>
        <s v="SO00001097"/>
        <s v="SO00001096"/>
        <s v="SO00001068"/>
        <s v="SO00001061"/>
        <s v="SO00001099"/>
        <s v="SO00001095"/>
        <s v="SO00001085"/>
        <s v="SO00001082"/>
        <s v="SO00001093"/>
        <s v="SO00001091"/>
        <s v="SO00001100"/>
        <s v="SO00001064"/>
        <s v="SO00001063"/>
        <s v="SO00001067"/>
        <s v="SO00001066"/>
        <s v="SO00001073"/>
        <s v="SO00001090"/>
        <s v="SO00001131"/>
        <s v="SO00001105"/>
        <s v="SO00001168"/>
        <s v="SO00001108"/>
        <s v="SO00001172"/>
        <s v="SO00001109"/>
        <s v="SO00001165"/>
        <s v="SO00001184"/>
        <s v="SO00001185"/>
        <s v="SO00001174"/>
        <s v="SO00001225"/>
        <s v="SO00001207"/>
        <s v="SO00001232"/>
        <s v="SO00001208"/>
        <s v="SO00001240"/>
        <s v="SO00001233"/>
        <s v="SO00001235"/>
        <s v="SO00001258"/>
        <s v="SO00001246"/>
        <s v="SO00001251"/>
        <s v="SO00001250"/>
        <s v="SO00001279"/>
        <s v="SO00001274"/>
        <s v="SO00001296"/>
        <s v="SO00001354"/>
        <s v="SO00001282"/>
        <s v="SO00001297"/>
        <s v="SO00001304"/>
        <s v="SO00001370"/>
        <s v="SO00001371"/>
        <s v="SO00001321"/>
        <s v="SO00001316"/>
        <s v="SO00001319"/>
        <s v="SO00001346"/>
        <s v="SO00001345"/>
        <s v="SO00001328"/>
        <s v="SO00000458"/>
        <s v="SO00001373"/>
        <s v="SO00001378"/>
        <s v="SO00001401"/>
        <s v="SO00001410"/>
        <s v="SO00001382"/>
        <s v="SO00001402"/>
        <s v="SO00001379"/>
        <s v="SO00001436"/>
        <s v="SO00001442"/>
        <s v="SO00001324"/>
      </sharedItems>
    </cacheField>
    <cacheField name="Customer" numFmtId="4">
      <sharedItems containsSemiMixedTypes="0" containsString="0" containsNumber="1" containsInteger="1">
        <n v="1.250000116E9"/>
        <n v="1.250000505E9"/>
        <n v="1.250001764E9"/>
        <n v="1.250001496E9"/>
        <n v="1.200006565E9"/>
        <n v="1.250004966E9"/>
        <n v="1.250001142E9"/>
        <n v="1.200006417E9"/>
        <n v="1.250010315E9"/>
        <n v="1.250004938E9"/>
        <n v="1.250003997E9"/>
        <n v="1.250003421E9"/>
        <n v="1.200009067E9"/>
        <n v="1.250000118E9"/>
        <n v="1.250001741E9"/>
        <n v="1.200007688E9"/>
        <n v="1.250000913E9"/>
        <n v="1.250010259E9"/>
        <n v="1.250009502E9"/>
        <n v="1.250010233E9"/>
        <n v="1.250002203E9"/>
        <n v="1.250009745E9"/>
        <n v="1.20000892E9"/>
        <n v="1.20000789E9"/>
        <n v="1.250009892E9"/>
        <n v="1.250010341E9"/>
        <n v="1.250001348E9"/>
        <n v="1.250000034E9"/>
        <n v="1.250004887E9"/>
        <n v="1.250003753E9"/>
        <n v="1.250000438E9"/>
        <n v="1.200007409E9"/>
        <n v="1.250004371E9"/>
        <n v="1.200008426E9"/>
        <n v="1.250010348E9"/>
        <n v="1.250001319E9"/>
        <n v="1.250002059E9"/>
        <n v="1.250003015E9"/>
        <n v="1.25000178E9"/>
        <n v="1.200008537E9"/>
        <n v="1.250009423E9"/>
        <n v="1.200006917E9"/>
        <n v="1.250002653E9"/>
        <n v="1.250001178E9"/>
        <n v="1.250004411E9"/>
        <n v="1.200007752E9"/>
        <n v="1.220000614E9"/>
        <n v="1.200007686E9"/>
        <n v="1.250000164E9"/>
        <n v="1.200008786E9"/>
        <n v="1.250005019E9"/>
        <n v="1.250009576E9"/>
        <n v="1.200007818E9"/>
        <n v="1.250010352E9"/>
        <n v="1.250001276E9"/>
        <n v="1.200008869E9"/>
        <n v="1.200008243E9"/>
        <n v="1.250002423E9"/>
        <n v="1.250000147E9"/>
        <n v="1.250000629E9"/>
        <n v="1.250000255E9"/>
        <n v="1.250003683E9"/>
        <n v="1.250002297E9"/>
        <n v="1.200008027E9"/>
        <n v="1.200008447E9"/>
        <n v="1.250010361E9"/>
        <n v="1.25000382E9"/>
        <n v="1.250001434E9"/>
        <n v="1.250001628E9"/>
        <n v="1.200006583E9"/>
        <n v="1.250000535E9"/>
        <n v="1.250003004E9"/>
        <n v="1.200008365E9"/>
        <n v="1.250009301E9"/>
        <n v="1.250000104E9"/>
        <n v="1.200006187E9"/>
        <n v="1.200008778E9"/>
        <n v="1.250010029E9"/>
        <n v="1.25000339E9"/>
        <n v="1.250010303E9"/>
        <n v="1.2500031E9"/>
        <n v="1.250001755E9"/>
        <n v="1.250004611E9"/>
        <n v="1.250000094E9"/>
        <n v="1.25000326E9"/>
        <n v="1.250004201E9"/>
        <n v="1.250000174E9"/>
        <n v="1.250002839E9"/>
        <n v="1.250010137E9"/>
        <n v="1.250009305E9"/>
        <n v="1.250001513E9"/>
        <n v="1.250009984E9"/>
        <n v="1.25001033E9"/>
        <n v="1.250000191E9"/>
        <n v="1.250003924E9"/>
        <n v="1.250001192E9"/>
        <n v="1.250000103E9"/>
        <n v="1.25000248E9"/>
        <n v="1.200008893E9"/>
        <n v="1.200007456E9"/>
        <n v="1.2000083E9"/>
        <n v="1.250000077E9"/>
        <n v="1.250000288E9"/>
        <n v="1.250001499E9"/>
        <n v="1.250010373E9"/>
        <n v="1.250000742E9"/>
        <n v="1.25000167E9"/>
        <n v="1.250004426E9"/>
        <n v="1.250000452E9"/>
        <n v="1.250002755E9"/>
        <n v="1.250009928E9"/>
        <n v="1.250001273E9"/>
      </sharedItems>
    </cacheField>
    <cacheField name="CustomerName" numFmtId="0">
      <sharedItems>
        <s v="CITY GOVERNMENT OF DAVAO"/>
        <s v="STAR PAPER CORPORATION"/>
        <s v="STENIEL MINDANAO PACKAGING CORPORATION"/>
        <s v="COMFAC CORPORATION"/>
        <s v="NXTGEN TECHNOLOGIES INC"/>
        <s v="INFIMAX HEALTH PRODUCTS"/>
        <s v="DEPT. OF HUMAN SETTLEMENTS &amp; URBAN DEV'T"/>
        <s v="PHIL.FIBER INDUSTRY DEV'T AUTHORITY"/>
        <s v="HI5 SOLUTIONS OPC"/>
        <s v="B.P.I. - BAJADA (FRONTING CONPINCO)"/>
        <s v="INSULAR OIL CORPORATION"/>
        <s v="LAND BANK OF THE PHILS. - NABUNTURAN"/>
        <s v="IVN ENTERPRISES"/>
        <s v="KIM GUAN TRADING CO. INC."/>
        <s v="SPAMAST"/>
        <s v="ANTONIO'S GRILL"/>
        <s v="FAR EAST ASSOCIATES"/>
        <s v="LAND BANK - TORIL BRANCH"/>
        <s v="SIMC"/>
        <s v="HELPMATE INCORPORATED"/>
        <s v="EHB ENTERPRISES &amp; PRINTHAUS"/>
        <s v="ML PREMIUM RESOURCES CORP."/>
        <s v="ARM-G  INT'L. LOGISTIC INC."/>
        <s v="ASTROBUILT CONSTRUCTION &amp; DEVELOPMENT"/>
        <s v="EC GONZAGA ENTERPRISES"/>
        <s v="EQUINOX SYNERGY OPC"/>
        <s v="BANEXCO TRADERS INC."/>
        <s v="LAND BANK OF THE PHILS. - RAMON MAGSAYSAY"/>
        <s v="EZGAB CORPORATION"/>
        <s v="FOCUSINC GROUP CORP."/>
        <s v="CIVIL SERVICE COMMISSION-REG. XI"/>
        <s v="NAKASHIN DAVAO INTERNATIONAL INC."/>
        <s v="PNJK INC"/>
        <s v="B.P.I. -  HOUSING LOAN"/>
        <s v="LICSAL CONSTRUCTION CORP."/>
        <s v="REJOICE FAMILY FOODS"/>
        <s v="AGRI DAVAO INCORPORATED"/>
        <s v="CHARVERSON WOOD INDUSTRY INC."/>
        <s v="DAVAO CONCRETE POLES CORPORATION"/>
        <s v="KALINGAP PHARMACY"/>
        <s v="SILANGAN MULTI-PURPOSE COOPERATIVE - BUHANGIN"/>
        <s v="EAST WEST BANK - BAJADA  2FLR."/>
        <s v="TRINITAS FOOD CORP."/>
        <s v="MOTORMALL DAVAO CORPORATION"/>
        <s v="GREENKREATIONS INC."/>
        <s v="INNOBUILDTEK DEVELOPMENT INC"/>
        <s v="SUNFRESH AGRICULTURAL VENTURES INC."/>
        <s v="PHILIPS GLASS &amp; ALUMINUM SALES INC."/>
        <s v="AKTIV MULTI TRADING CO. PHILS. INC."/>
        <s v="KILOTRADE"/>
        <s v="SEADOVE MARITIME SERVICES INC."/>
        <s v="RBGM MEDICAL EXPRESS SALES INC."/>
        <s v="DEPT. OF TRADE &amp; INDUSTRY- RO-11"/>
        <s v="FIESTA  APPLIANCE CENTER INC."/>
        <s v="PHILIPPINE COCONUT AUTHORITY-REG.XI"/>
        <s v="GTM GET THINGS MOVING DISTRIBUTION INC."/>
        <s v="EAST WEST BANK - DAVAO AGDAO BRANCH"/>
        <s v="LAND BANK OF THE PHILIPPINES - MATI BRANCH"/>
        <s v="MALAYAN INSURANCE COMPANY INC."/>
        <s v="NATIONAL POLICE COMMISSION"/>
        <s v="DEPARTMENT OF TOURISM"/>
        <s v="JATHNIER CORPORATION"/>
        <s v="LAND BANK OF THE PHILS.-BANSALAN BRANCH"/>
        <s v="B.P.I. - LANANG"/>
        <s v="HAFELE PHILIPPINES INC."/>
        <s v="JLP DESIGN"/>
        <s v="GOLDEN BALES CORPORATION"/>
        <s v="DIGOS WATER DISTRICT"/>
        <s v="EAST WEST BANK"/>
        <s v="DAVAO FIBREBOARD PACKAGING PLANT INC."/>
        <s v="JEWM AGRO-INDUSTRIAL CORPORATION"/>
        <s v="MINDANAO KOKUSAI DAIGAKU"/>
        <s v="STERLING BANK OF ASIA - BAJADA"/>
        <s v="FELY M. MORATA CUSTOM BROKERAGE SERVICES"/>
        <s v="UNIVERSITY OF SOUTHEASTERN PHILS."/>
        <s v="INSURANCE COMMISSION"/>
        <s v="RV BAYANIHAN LENDING"/>
        <s v="PANORAMA SUMMIT HOTEL"/>
        <s v="ASIAGLOBAL TECHNOLOGIES INC."/>
        <s v="AMERICARES FOUNDATION INC."/>
        <s v="AFP &amp; POLICE SAVINGS LOAN ASSN (AFPSLAI)"/>
        <s v="HEAD CORPORATION"/>
        <s v="IGACOS WATER DISTRICT"/>
        <s v="UNIVERSITY OF SOUTHERN MINDANAO"/>
        <s v="HAVEN UNITED DEV'T. CORPORATION"/>
        <s v="KABACAN WATER DISTRICT"/>
        <s v="DAVAO GENERAL HARDWARE COMPANY"/>
        <s v="MUNICIPALITY OF LUPON - LGU"/>
        <s v="KENNEMER FOODS INTERNATIONAL INC."/>
        <s v="F.S. DIZON &amp; SONS INC."/>
        <s v="MINES AND GEOSCIENCES BUREAU-RXI"/>
        <s v="SOUTHERN HARVEST INCORPORATED"/>
        <s v="TRANSNATIONAL AVIATION SUPPORT SERVICES"/>
        <s v="NATIONAL CONCILIATION AND MEDIAT'N BOARD"/>
        <s v="AUTOKID SOUTH MINDANAO CORP."/>
        <s v="DEPARTMENT OF BUDGET &amp; MANAGEMENT"/>
        <s v="COMMISSION ON AUDIT"/>
        <s v="AMESCO DRUG CORPORATION"/>
        <s v="CONSULATE GENERAL OF JAPAN"/>
        <s v="NATIONAL FOOD AUTHORITY - TAGUM"/>
        <s v="AMALGATED CAPITAL INCORPORATED"/>
        <s v="MUNICIPALITY OF KABACAN"/>
        <s v="ASSUMPTION COLLEGE OF DAVAO INC"/>
        <s v="SF &amp; F TRUCKING SERVICES"/>
        <s v="DEPARTMENT OF SOCIAL WELFARE &amp; DEVT"/>
        <s v="MABUHAY WAREHOUSE"/>
        <s v="CHEVRON PHILIPPINES INC. (FORMER CALTEX)"/>
        <s v="SHIMADZU PHILS. CORP"/>
        <s v="MARITIME INDUSTRY AUTHORITY"/>
        <s v="LAND BANK OF THE PHILS. - PANABO"/>
        <s v="DAVAO EYEMDS LASER AND SURGERY CENTER"/>
        <s v="MILLENNIUM SPECIALTY COCO PRODUCTSINC."/>
      </sharedItems>
    </cacheField>
    <cacheField name="Date" numFmtId="165">
      <sharedItems containsSemiMixedTypes="0" containsNonDate="0" containsDate="1" containsString="0">
        <d v="2023-11-20T00:00:00Z"/>
        <d v="2024-01-03T00:00:00Z"/>
        <d v="2024-01-04T00:00:00Z"/>
        <d v="2024-01-05T00:00:00Z"/>
        <d v="2024-01-08T00:00:00Z"/>
        <d v="2024-01-09T00:00:00Z"/>
        <d v="2024-01-10T00:00:00Z"/>
        <d v="2024-01-11T00:00:00Z"/>
        <d v="2024-01-12T00:00:00Z"/>
        <d v="2024-01-13T00:00:00Z"/>
        <d v="2024-01-15T00:00:00Z"/>
        <d v="2024-01-16T00:00:00Z"/>
        <d v="2024-01-17T00:00:00Z"/>
        <d v="2024-01-18T00:00:00Z"/>
        <d v="2024-01-19T00:00:00Z"/>
        <d v="2024-01-22T00:00:00Z"/>
        <d v="2024-01-23T00:00:00Z"/>
        <d v="2024-01-24T00:00:00Z"/>
        <d v="2024-01-25T00:00:00Z"/>
        <d v="2024-01-26T00:00:00Z"/>
        <d v="2024-01-27T00:00:00Z"/>
        <d v="2024-01-29T00:00:00Z"/>
        <d v="2024-01-30T00:00:00Z"/>
        <d v="2024-01-31T00:00:00Z"/>
        <d v="2024-02-01T00:00:00Z"/>
        <d v="2024-02-02T00:00:00Z"/>
        <d v="2024-02-03T00:00:00Z"/>
        <d v="2024-02-05T00:00:00Z"/>
        <d v="2024-02-06T00:00:00Z"/>
        <d v="2024-02-07T00:00:00Z"/>
        <d v="2024-02-08T00:00:00Z"/>
        <d v="2024-02-09T00:00:00Z"/>
        <d v="2024-02-12T00:00:00Z"/>
        <d v="2024-02-13T00:00:00Z"/>
        <d v="2024-02-14T00:00:00Z"/>
        <d v="2024-02-15T00:00:00Z"/>
      </sharedItems>
      <fieldGroup par="6"/>
    </cacheField>
    <cacheField name=" OrderTotal " numFmtId="166">
      <sharedItems>
        <s v=" ₱4372.25 "/>
        <s v=" ₱1362.00 "/>
        <s v=" ₱1500.00 "/>
        <s v=" ₱1916.00 "/>
        <s v=" ₱2148.80 "/>
        <s v=" ₱2365.80 "/>
        <s v=" ₱2367.50 "/>
        <s v=" ₱38256.00 "/>
        <s v=" ₱1600.00 "/>
        <s v=" ₱4762.10 "/>
        <s v=" ₱5265.00 "/>
        <s v=" ₱51900.00 "/>
        <s v=" ₱2060.00 "/>
        <s v=" ₱4097.50 "/>
        <s v=" ₱6230.00 "/>
        <s v=" ₱44970.00 "/>
        <s v=" ₱525.30 "/>
        <s v=" ₱2265.45 "/>
        <s v=" ₱3256.00 "/>
        <s v=" ₱4400.60 "/>
        <s v=" ₱8254.15 "/>
        <s v=" ₱111000.00 "/>
        <s v=" ₱765.00 "/>
        <s v=" ₱1525.00 "/>
        <s v=" ₱2050.00 "/>
        <s v=" ₱3571.75 "/>
        <s v=" ₱5151.00 "/>
        <s v=" ₱7885.30 "/>
        <s v=" ₱10250.50 "/>
        <s v=" ₱16973.25 "/>
        <s v=" ₱1154.00 "/>
        <s v=" ₱3031.50 "/>
        <s v=" ₱4490.40 "/>
        <s v=" ₱10550.00 "/>
        <s v=" ₱744.00 "/>
        <s v=" ₱1873.10 "/>
        <s v=" ₱1995.50 "/>
        <s v=" ₱2113.60 "/>
        <s v=" ₱4800.00 "/>
        <s v=" ₱711.00 "/>
        <s v=" ₱1289.35 "/>
        <s v=" ₱1806.00 "/>
        <s v=" ₱3700.80 "/>
        <s v=" ₱3720.00 "/>
        <s v=" ₱5500.00 "/>
        <s v=" ₱15998.00 "/>
        <s v=" ₱324.00 "/>
        <s v=" ₱569.80 "/>
        <s v=" ₱1172.00 "/>
        <s v=" ₱2526.50 "/>
        <s v=" ₱2759.80 "/>
        <s v=" ₱3290.00 "/>
        <s v=" ₱3818.70 "/>
        <s v=" ₱4312.00 "/>
        <s v=" ₱773.00 "/>
        <s v=" ₱2586.00 "/>
        <s v=" ₱3382.85 "/>
        <s v=" ₱4384.50 "/>
        <s v=" ₱5596.00 "/>
        <s v=" ₱3488.50 "/>
        <s v=" ₱5588.50 "/>
        <s v=" ₱28093.60 "/>
        <s v=" ₱1762.00 "/>
        <s v=" ₱4819.00 "/>
        <s v=" ₱779.25 "/>
        <s v=" ₱1710.30 "/>
        <s v=" ₱2200.00 "/>
        <s v=" ₱3251.00 "/>
        <s v=" ₱10168.00 "/>
        <s v=" ₱10316.40 "/>
        <s v=" ₱21920.00 "/>
        <s v=" ₱27978.00 "/>
        <s v=" ₱240.00 "/>
        <s v=" ₱799.00 "/>
        <s v=" ₱1316.00 "/>
        <s v=" ₱2122.00 "/>
        <s v=" ₱2485.85 "/>
        <s v=" ₱7782.50 "/>
        <s v=" ₱13562.70 "/>
        <s v=" ₱16200.00 "/>
        <s v=" ₱33650.00 "/>
        <s v=" ₱47250.00 "/>
        <s v=" ₱105000.00 "/>
        <s v=" ₱1048.00 "/>
        <s v=" ₱1100.00 "/>
        <s v=" ₱1686.00 "/>
        <s v=" ₱4562.00 "/>
        <s v=" ₱4700.00 "/>
        <s v=" ₱11901.40 "/>
        <s v=" ₱12300.00 "/>
        <s v=" ₱13000.00 "/>
        <s v=" ₱16466.00 "/>
        <s v=" ₱18387.75 "/>
        <s v=" ₱966.00 "/>
        <s v=" ₱19060.50 "/>
        <s v=" ₱1099.00 "/>
        <s v=" ₱3280.00 "/>
        <s v=" ₱5900.00 "/>
        <s v=" ₱10831.50 "/>
        <s v=" ₱903.92 "/>
        <s v=" ₱1804.00 "/>
        <s v=" ₱7650.00 "/>
        <s v=" ₱8128.00 "/>
        <s v=" ₱17417.00 "/>
        <s v=" ₱22725.00 "/>
        <s v=" ₱45360.00 "/>
        <s v=" ₱990.00 "/>
        <s v=" ₱3305.00 "/>
        <s v=" ₱4807.00 "/>
        <s v=" ₱5732.00 "/>
        <s v=" ₱10990.00 "/>
        <s v=" ₱4236.55 "/>
        <s v=" ₱7140.00 "/>
        <s v=" ₱365925.00 "/>
        <s v=" ₱227.00 "/>
        <s v=" ₱1537.20 "/>
        <s v=" ₱3157.00 "/>
        <s v=" ₱6180.50 "/>
        <s v=" ₱12195.80 "/>
        <s v=" ₱1080.00 "/>
        <s v=" ₱20494.75 "/>
        <s v=" ₱50228.00 "/>
        <s v=" ₱1292.30 "/>
        <s v=" ₱1305.00 "/>
        <s v=" ₱14750.00 "/>
        <s v=" ₱1700.00 "/>
        <s v=" ₱2196.00 "/>
        <s v=" ₱2404.50 "/>
        <s v=" ₱2850.00 "/>
        <s v=" ₱4977.00 "/>
        <s v=" ₱5300.00 "/>
        <s v=" ₱5969.10 "/>
        <s v=" ₱7059.00 "/>
        <s v=" ₱7705.00 "/>
        <s v=" ₱8646.00 "/>
        <s v=" ₱10050.00 "/>
        <s v=" ₱14655.10 "/>
        <s v=" ₱14702.80 "/>
        <s v=" ₱14995.50 "/>
        <s v=" ₱15202.00 "/>
        <s v=" ₱23146.00 "/>
        <s v=" ₱31373.20 "/>
        <s v=" ₱39347.30 "/>
        <s v=" ₱40765.40 "/>
        <s v=" ₱45642.50 "/>
        <s v=" ₱147021.00 "/>
        <s v=" ₱2915.50 "/>
        <s v=" ₱5250.00 "/>
        <s v=" ₱6552.00 "/>
        <s v=" ₱16238.70 "/>
        <s v=" ₱16789.55 "/>
        <s v=" ₱17687.60 "/>
        <s v=" ₱98228.40 "/>
        <s v=" ₱3130.45 "/>
        <s v=" ₱3354.00 "/>
        <s v=" ₱10368.80 "/>
        <s v=" ₱1800.00 "/>
        <s v=" ₱2475.25 "/>
        <s v=" ₱4490.20 "/>
        <s v=" ₱7750.00 "/>
        <s v=" ₱8686.00 "/>
        <s v=" ₱8779.00 "/>
        <s v=" ₱3804.00 "/>
        <s v=" ₱4956.00 "/>
        <s v=" ₱20035.40 "/>
        <s v=" ₱103307.50 "/>
        <s v=" ₱3557.00 "/>
        <s v=" ₱4209.50 "/>
        <s v=" ₱5826.66 "/>
        <s v=" ₱10488.70 "/>
        <s v=" ₱11124.50 "/>
        <s v=" ₱15375.20 "/>
        <s v=" ₱25268.00 "/>
        <s v=" ₱432.50 "/>
        <s v=" ₱543.90 "/>
        <s v=" ₱2485.00 "/>
        <s v=" ₱2950.00 "/>
        <s v=" ₱3000.00 "/>
        <s v=" ₱4522.00 "/>
        <s v=" ₱10140.00 "/>
        <s v=" ₱10450.00 "/>
        <s v=" ₱34720.00 "/>
        <s v=" ₱640.50 "/>
        <s v=" ₱900.00 "/>
        <s v=" ₱8040.00 "/>
        <s v=" ₱10629.75 "/>
        <s v=" ₱11281.00 "/>
        <s v=" ₱26720.00 "/>
        <s v=" ₱29710.00 "/>
        <s v=" ₱440.00 "/>
        <s v=" ₱1200.00 "/>
      </sharedItems>
    </cacheField>
    <cacheField name="CreatedBy" numFmtId="49">
      <sharedItems>
        <s v="GRACE POLPOL"/>
        <s v="ANGELI SUMINGIT"/>
        <s v="Vivian Chavez"/>
      </sharedItems>
    </cacheField>
    <cacheField name="date2" databaseField="0">
      <fieldGroup base="3">
        <rangePr autoStart="0" autoEnd="0" groupBy="months" startDate="2023-11-20T00:00:00Z" endDate="2024-02-16T00:00:00Z"/>
        <groupItems>
          <s v="&lt;11/20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6/24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rhea_rhea" cacheId="6" dataCaption="" compact="0" compactData="0">
  <location ref="A1:F116" firstHeaderRow="0" firstDataRow="1" firstDataCol="1"/>
  <pivotFields>
    <pivotField name="CustomerName" axis="axisRow" compact="0" outline="0" multipleItemSelectionAllowed="1" showAll="0" sortType="ascending">
      <items>
        <item x="112"/>
        <item x="80"/>
        <item x="36"/>
        <item x="48"/>
        <item x="100"/>
        <item x="79"/>
        <item x="97"/>
        <item x="15"/>
        <item x="22"/>
        <item x="78"/>
        <item x="102"/>
        <item x="23"/>
        <item x="94"/>
        <item x="9"/>
        <item x="33"/>
        <item x="63"/>
        <item x="26"/>
        <item x="37"/>
        <item x="106"/>
        <item x="0"/>
        <item x="30"/>
        <item x="3"/>
        <item x="96"/>
        <item x="98"/>
        <item x="38"/>
        <item x="110"/>
        <item x="69"/>
        <item x="86"/>
        <item x="95"/>
        <item x="104"/>
        <item x="60"/>
        <item x="6"/>
        <item x="52"/>
        <item x="67"/>
        <item x="68"/>
        <item x="41"/>
        <item x="56"/>
        <item x="24"/>
        <item x="20"/>
        <item x="25"/>
        <item x="28"/>
        <item x="89"/>
        <item x="16"/>
        <item x="73"/>
        <item x="53"/>
        <item x="29"/>
        <item x="66"/>
        <item x="44"/>
        <item x="55"/>
        <item x="64"/>
        <item x="84"/>
        <item x="81"/>
        <item x="19"/>
        <item x="8"/>
        <item x="82"/>
        <item x="5"/>
        <item x="45"/>
        <item x="10"/>
        <item x="75"/>
        <item x="12"/>
        <item x="61"/>
        <item x="70"/>
        <item x="65"/>
        <item x="85"/>
        <item x="39"/>
        <item x="88"/>
        <item x="49"/>
        <item x="13"/>
        <item x="17"/>
        <item x="57"/>
        <item x="11"/>
        <item x="109"/>
        <item x="27"/>
        <item x="62"/>
        <item x="34"/>
        <item x="105"/>
        <item x="58"/>
        <item x="108"/>
        <item x="111"/>
        <item x="71"/>
        <item x="90"/>
        <item x="21"/>
        <item x="43"/>
        <item x="101"/>
        <item x="87"/>
        <item x="31"/>
        <item x="93"/>
        <item x="99"/>
        <item x="59"/>
        <item x="4"/>
        <item x="77"/>
        <item x="7"/>
        <item x="54"/>
        <item x="47"/>
        <item x="32"/>
        <item x="51"/>
        <item x="35"/>
        <item x="76"/>
        <item x="50"/>
        <item x="103"/>
        <item x="107"/>
        <item x="40"/>
        <item x="18"/>
        <item x="91"/>
        <item x="14"/>
        <item x="1"/>
        <item x="2"/>
        <item x="72"/>
        <item x="46"/>
        <item x="92"/>
        <item x="42"/>
        <item x="74"/>
        <item x="83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Total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date2" axis="axisCol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ate3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colFields>
    <field x="3"/>
  </colFields>
  <dataFields>
    <dataField name="SUM of OrderTotal" fld="2" baseField="0"/>
  </dataFields>
</pivotTableDefinition>
</file>

<file path=xl/pivotTables/pivotTable2.xml><?xml version="1.0" encoding="utf-8"?>
<pivotTableDefinition xmlns="http://schemas.openxmlformats.org/spreadsheetml/2006/main" name="Copy of John 1" cacheId="1" dataCaption="" createdVersion="6" compact="0" compactData="0">
  <location ref="O3:P116" firstHeaderRow="0" firstDataRow="1" firstDataCol="0" rowPageCount="1" colPageCount="1"/>
  <pivotFields>
    <pivotField name="CustomerName" axis="axisRow" compact="0" outline="0" multipleItemSelectionAllowed="1" showAll="0" sortType="descending">
      <items>
        <item x="83"/>
        <item x="74"/>
        <item x="42"/>
        <item x="92"/>
        <item x="46"/>
        <item x="72"/>
        <item x="2"/>
        <item x="1"/>
        <item x="14"/>
        <item x="91"/>
        <item x="18"/>
        <item x="40"/>
        <item x="107"/>
        <item x="103"/>
        <item x="50"/>
        <item x="76"/>
        <item x="35"/>
        <item x="51"/>
        <item x="32"/>
        <item x="47"/>
        <item x="54"/>
        <item x="7"/>
        <item x="77"/>
        <item x="4"/>
        <item x="59"/>
        <item x="99"/>
        <item x="93"/>
        <item x="31"/>
        <item x="87"/>
        <item x="101"/>
        <item x="43"/>
        <item x="21"/>
        <item x="90"/>
        <item x="71"/>
        <item x="111"/>
        <item x="108"/>
        <item x="58"/>
        <item x="105"/>
        <item x="34"/>
        <item x="62"/>
        <item x="27"/>
        <item x="109"/>
        <item x="11"/>
        <item x="57"/>
        <item x="17"/>
        <item x="13"/>
        <item x="49"/>
        <item x="88"/>
        <item x="39"/>
        <item x="85"/>
        <item x="65"/>
        <item x="70"/>
        <item x="61"/>
        <item x="12"/>
        <item x="75"/>
        <item x="10"/>
        <item x="45"/>
        <item x="5"/>
        <item x="82"/>
        <item x="8"/>
        <item x="19"/>
        <item x="81"/>
        <item x="84"/>
        <item x="64"/>
        <item x="55"/>
        <item x="44"/>
        <item x="66"/>
        <item x="29"/>
        <item x="53"/>
        <item x="73"/>
        <item x="16"/>
        <item x="89"/>
        <item x="28"/>
        <item x="25"/>
        <item x="20"/>
        <item x="24"/>
        <item x="56"/>
        <item x="41"/>
        <item x="68"/>
        <item x="67"/>
        <item x="52"/>
        <item x="6"/>
        <item x="60"/>
        <item x="104"/>
        <item x="95"/>
        <item x="86"/>
        <item x="69"/>
        <item x="110"/>
        <item x="38"/>
        <item x="98"/>
        <item x="96"/>
        <item x="3"/>
        <item x="30"/>
        <item x="0"/>
        <item x="106"/>
        <item x="37"/>
        <item x="26"/>
        <item x="63"/>
        <item x="9"/>
        <item x="33"/>
        <item x="94"/>
        <item x="23"/>
        <item x="102"/>
        <item x="78"/>
        <item x="22"/>
        <item x="15"/>
        <item x="97"/>
        <item x="79"/>
        <item x="100"/>
        <item x="48"/>
        <item x="36"/>
        <item x="80"/>
        <item x="11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Total" axis="axisPag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0"/>
  </rowFields>
  <pageFields>
    <pageField fld="2"/>
  </pageFields>
  <dataFields>
    <dataField name="SUM of OrderTotal" fld="2" baseField="0"/>
  </dataFields>
  <filters>
    <filter fld="2" type="captionGreaterThan" evalOrder="-1" id="1" stringValue1="0">
      <autoFilter ref="A1">
        <filterColumn colId="0">
          <customFilters>
            <customFilter operator="greaterThan" val="0"/>
          </customFilters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Copy of John 1 2" cacheId="3" dataCaption="" compact="0" compactData="0">
  <location ref="AH1:AJ240" firstHeaderRow="0" firstDataRow="2" firstDataCol="0"/>
  <pivotFields>
    <pivotField name="CustomerName" axis="axisRow" compact="0" outline="0" multipleItemSelectionAllowed="1" showAll="0" sortType="ascending">
      <items>
        <item x="80"/>
        <item x="36"/>
        <item x="48"/>
        <item x="100"/>
        <item x="79"/>
        <item x="97"/>
        <item x="15"/>
        <item x="22"/>
        <item x="78"/>
        <item x="102"/>
        <item x="23"/>
        <item x="94"/>
        <item x="33"/>
        <item x="9"/>
        <item x="63"/>
        <item x="26"/>
        <item x="37"/>
        <item x="106"/>
        <item x="0"/>
        <item x="30"/>
        <item x="3"/>
        <item x="96"/>
        <item x="98"/>
        <item x="38"/>
        <item x="110"/>
        <item x="69"/>
        <item x="86"/>
        <item x="95"/>
        <item x="104"/>
        <item x="60"/>
        <item x="6"/>
        <item x="52"/>
        <item x="67"/>
        <item x="68"/>
        <item x="41"/>
        <item x="56"/>
        <item x="24"/>
        <item x="20"/>
        <item x="25"/>
        <item x="28"/>
        <item x="89"/>
        <item x="16"/>
        <item x="73"/>
        <item x="53"/>
        <item x="29"/>
        <item x="66"/>
        <item x="44"/>
        <item x="55"/>
        <item x="64"/>
        <item x="84"/>
        <item x="81"/>
        <item x="19"/>
        <item x="8"/>
        <item x="82"/>
        <item x="5"/>
        <item x="45"/>
        <item x="10"/>
        <item x="75"/>
        <item x="12"/>
        <item x="61"/>
        <item x="70"/>
        <item x="65"/>
        <item x="85"/>
        <item x="39"/>
        <item x="88"/>
        <item x="49"/>
        <item x="13"/>
        <item x="17"/>
        <item x="57"/>
        <item x="11"/>
        <item x="109"/>
        <item x="27"/>
        <item x="62"/>
        <item x="34"/>
        <item x="105"/>
        <item x="58"/>
        <item x="108"/>
        <item x="111"/>
        <item x="71"/>
        <item x="90"/>
        <item x="21"/>
        <item x="43"/>
        <item x="101"/>
        <item x="87"/>
        <item x="31"/>
        <item x="93"/>
        <item x="99"/>
        <item x="59"/>
        <item x="4"/>
        <item x="77"/>
        <item x="7"/>
        <item x="54"/>
        <item x="47"/>
        <item x="32"/>
        <item x="51"/>
        <item x="35"/>
        <item x="76"/>
        <item x="50"/>
        <item x="103"/>
        <item x="107"/>
        <item x="40"/>
        <item x="18"/>
        <item x="91"/>
        <item x="14"/>
        <item x="1"/>
        <item x="2"/>
        <item x="72"/>
        <item x="46"/>
        <item x="92"/>
        <item x="42"/>
        <item x="74"/>
        <item x="83"/>
        <item t="default"/>
      </items>
    </pivotField>
    <pivotField name="month" axis="axisRow" dataField="1" compact="0" outline="0" multipleItemSelectionAllowed="1" showAll="0" sortType="ascending">
      <items>
        <item x="2"/>
        <item x="1"/>
        <item x="0"/>
        <item t="default"/>
      </items>
    </pivotField>
    <pivotField name="Order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</pivotFields>
  <rowFields>
    <field x="0"/>
    <field x="1"/>
  </rowFields>
  <dataFields>
    <dataField name="COUNTA of month" fld="1" subtotal="count" baseField="0"/>
  </dataFields>
</pivotTableDefinition>
</file>

<file path=xl/pivotTables/pivotTable4.xml><?xml version="1.0" encoding="utf-8"?>
<pivotTableDefinition xmlns="http://schemas.openxmlformats.org/spreadsheetml/2006/main" name="Copy of John 1 3" cacheId="2" dataCaption="" compact="0" compactData="0">
  <location ref="P145:Q150" firstHeaderRow="0" firstDataRow="1" firstDataCol="0"/>
  <pivotFields>
    <pivotField name="month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OrderTota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0"/>
  </rowFields>
  <dataFields>
    <dataField name="SUM of OrderTotal" fld="1" baseField="0"/>
  </dataFields>
</pivotTableDefinition>
</file>

<file path=xl/pivotTables/pivotTable5.xml><?xml version="1.0" encoding="utf-8"?>
<pivotTableDefinition xmlns="http://schemas.openxmlformats.org/spreadsheetml/2006/main" name="Copy of John 1 4" cacheId="0" dataCaption="" compact="0" compactData="0">
  <location ref="A235:E244" firstHeaderRow="0" firstDataRow="0" firstDataCol="0"/>
  <pivotFields>
    <pivotField name="November" compact="0" outline="0" multipleItemSelectionAllowed="1" showAll="0">
      <items>
        <item x="0"/>
        <item x="1"/>
        <item t="default"/>
      </items>
    </pivotField>
    <pivotField name="4,372.2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</pivotFields>
</pivotTableDefinition>
</file>

<file path=xl/pivotTables/pivotTable6.xml><?xml version="1.0" encoding="utf-8"?>
<pivotTableDefinition xmlns="http://schemas.openxmlformats.org/spreadsheetml/2006/main" name="Johnreyexel" cacheId="7" dataCaption="" compact="0" compactData="0">
  <location ref="A1:B114" firstHeaderRow="0" firstDataRow="1" firstDataCol="0"/>
  <pivotFields>
    <pivotField name="OrderNb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CustomerName" axis="axisRow" compact="0" outline="0" multipleItemSelectionAllowed="1" showAll="0" sortType="ascending">
      <items>
        <item x="80"/>
        <item x="36"/>
        <item x="48"/>
        <item x="100"/>
        <item x="79"/>
        <item x="97"/>
        <item x="15"/>
        <item x="22"/>
        <item x="78"/>
        <item x="102"/>
        <item x="23"/>
        <item x="94"/>
        <item x="33"/>
        <item x="9"/>
        <item x="63"/>
        <item x="26"/>
        <item x="37"/>
        <item x="106"/>
        <item x="0"/>
        <item x="30"/>
        <item x="3"/>
        <item x="96"/>
        <item x="98"/>
        <item x="38"/>
        <item x="110"/>
        <item x="69"/>
        <item x="86"/>
        <item x="95"/>
        <item x="104"/>
        <item x="60"/>
        <item x="6"/>
        <item x="52"/>
        <item x="67"/>
        <item x="68"/>
        <item x="41"/>
        <item x="56"/>
        <item x="24"/>
        <item x="20"/>
        <item x="25"/>
        <item x="28"/>
        <item x="89"/>
        <item x="16"/>
        <item x="73"/>
        <item x="53"/>
        <item x="29"/>
        <item x="66"/>
        <item x="44"/>
        <item x="55"/>
        <item x="64"/>
        <item x="84"/>
        <item x="81"/>
        <item x="19"/>
        <item x="8"/>
        <item x="82"/>
        <item x="5"/>
        <item x="45"/>
        <item x="10"/>
        <item x="75"/>
        <item x="12"/>
        <item x="61"/>
        <item x="70"/>
        <item x="65"/>
        <item x="85"/>
        <item x="39"/>
        <item x="88"/>
        <item x="49"/>
        <item x="13"/>
        <item x="17"/>
        <item x="57"/>
        <item x="11"/>
        <item x="109"/>
        <item x="27"/>
        <item x="62"/>
        <item x="34"/>
        <item x="105"/>
        <item x="58"/>
        <item x="108"/>
        <item x="111"/>
        <item x="71"/>
        <item x="90"/>
        <item x="21"/>
        <item x="43"/>
        <item x="101"/>
        <item x="87"/>
        <item x="31"/>
        <item x="93"/>
        <item x="99"/>
        <item x="59"/>
        <item x="4"/>
        <item x="77"/>
        <item x="7"/>
        <item x="54"/>
        <item x="47"/>
        <item x="32"/>
        <item x="51"/>
        <item x="35"/>
        <item x="76"/>
        <item x="50"/>
        <item x="103"/>
        <item x="107"/>
        <item x="40"/>
        <item x="18"/>
        <item x="91"/>
        <item x="14"/>
        <item x="1"/>
        <item x="2"/>
        <item x="72"/>
        <item x="46"/>
        <item x="92"/>
        <item x="42"/>
        <item x="74"/>
        <item x="8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 OrderTotal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CreatedBy" compact="0" numFmtId="49" outline="0" multipleItemSelectionAllowed="1" showAll="0">
      <items>
        <item x="0"/>
        <item x="1"/>
        <item x="2"/>
        <item t="default"/>
      </items>
    </pivotField>
    <pivotField name="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2"/>
  </rowFields>
</pivotTableDefinition>
</file>

<file path=xl/pivotTables/pivotTable7.xml><?xml version="1.0" encoding="utf-8"?>
<pivotTableDefinition xmlns="http://schemas.openxmlformats.org/spreadsheetml/2006/main" name="Pivot Table 2" cacheId="5" dataCaption="" compact="0" compactData="0">
  <location ref="A1:B114" firstHeaderRow="0" firstDataRow="1" firstDataCol="0"/>
  <pivotFields>
    <pivotField name="OrderNb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mer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CustomerName" axis="axisRow" compact="0" numFmtId="49" outline="0" multipleItemSelectionAllowed="1" showAll="0" sortType="ascending">
      <items>
        <item x="80"/>
        <item x="36"/>
        <item x="48"/>
        <item x="100"/>
        <item x="79"/>
        <item x="97"/>
        <item x="15"/>
        <item x="22"/>
        <item x="78"/>
        <item x="102"/>
        <item x="23"/>
        <item x="94"/>
        <item x="33"/>
        <item x="9"/>
        <item x="63"/>
        <item x="26"/>
        <item x="37"/>
        <item x="106"/>
        <item x="0"/>
        <item x="30"/>
        <item x="3"/>
        <item x="96"/>
        <item x="98"/>
        <item x="38"/>
        <item x="110"/>
        <item x="69"/>
        <item x="86"/>
        <item x="95"/>
        <item x="104"/>
        <item x="60"/>
        <item x="6"/>
        <item x="52"/>
        <item x="67"/>
        <item x="68"/>
        <item x="41"/>
        <item x="56"/>
        <item x="24"/>
        <item x="20"/>
        <item x="25"/>
        <item x="28"/>
        <item x="89"/>
        <item x="16"/>
        <item x="73"/>
        <item x="53"/>
        <item x="29"/>
        <item x="66"/>
        <item x="44"/>
        <item x="55"/>
        <item x="64"/>
        <item x="84"/>
        <item x="81"/>
        <item x="19"/>
        <item x="8"/>
        <item x="82"/>
        <item x="5"/>
        <item x="45"/>
        <item x="10"/>
        <item x="75"/>
        <item x="12"/>
        <item x="61"/>
        <item x="70"/>
        <item x="65"/>
        <item x="85"/>
        <item x="39"/>
        <item x="88"/>
        <item x="49"/>
        <item x="13"/>
        <item x="17"/>
        <item x="57"/>
        <item x="11"/>
        <item x="109"/>
        <item x="27"/>
        <item x="62"/>
        <item x="34"/>
        <item x="105"/>
        <item x="58"/>
        <item x="108"/>
        <item x="111"/>
        <item x="71"/>
        <item x="90"/>
        <item x="21"/>
        <item x="43"/>
        <item x="101"/>
        <item x="87"/>
        <item x="31"/>
        <item x="93"/>
        <item x="99"/>
        <item x="59"/>
        <item x="4"/>
        <item x="77"/>
        <item x="7"/>
        <item x="54"/>
        <item x="47"/>
        <item x="32"/>
        <item x="51"/>
        <item x="35"/>
        <item x="76"/>
        <item x="50"/>
        <item x="103"/>
        <item x="107"/>
        <item x="40"/>
        <item x="18"/>
        <item x="91"/>
        <item x="14"/>
        <item x="1"/>
        <item x="2"/>
        <item x="72"/>
        <item x="46"/>
        <item x="92"/>
        <item x="42"/>
        <item x="74"/>
        <item x="8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OrderTotal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CreatedBy" compact="0" numFmtId="49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SUM of Customer" fld="1" baseField="0"/>
  </dataFields>
</pivotTableDefinition>
</file>

<file path=xl/tables/table1.xml><?xml version="1.0" encoding="utf-8"?>
<table xmlns="http://schemas.openxmlformats.org/spreadsheetml/2006/main" ref="A1:F201" displayName="Reciept" name="Reciept" id="1">
  <tableColumns count="6">
    <tableColumn name="OrderNbr" id="1"/>
    <tableColumn name="Customer" id="2"/>
    <tableColumn name="CustomerName" id="3"/>
    <tableColumn name="Date" id="4"/>
    <tableColumn name="OrderTotal" id="5"/>
    <tableColumn name="CreatedBy" id="6"/>
  </tableColumns>
  <tableStyleInfo name="John 2-style" showColumnStripes="0" showFirstColumn="1" showLastColumn="1" showRowStripes="1"/>
</table>
</file>

<file path=xl/tables/table2.xml><?xml version="1.0" encoding="utf-8"?>
<table xmlns="http://schemas.openxmlformats.org/spreadsheetml/2006/main" ref="A1:F201" displayName="Table2" name="Table2" id="2">
  <tableColumns count="6">
    <tableColumn name="OrderNbr" id="1"/>
    <tableColumn name="Customer" id="2"/>
    <tableColumn name="CustomerName" id="3"/>
    <tableColumn name="Date" id="4"/>
    <tableColumn name="OrderTotal" id="5"/>
    <tableColumn name="CreatedBy" id="6"/>
  </tableColumns>
  <tableStyleInfo name="johnreyexc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0"/>
    <col customWidth="1" min="3" max="3" width="41.38"/>
    <col customWidth="1" min="4" max="6" width="27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</row>
    <row r="2">
      <c r="A2" s="1" t="s">
        <v>6</v>
      </c>
      <c r="B2" s="2">
        <v>1.250000116E9</v>
      </c>
      <c r="C2" s="3" t="s">
        <v>7</v>
      </c>
      <c r="D2" s="4">
        <v>45250.0</v>
      </c>
      <c r="E2" s="5" t="s">
        <v>8</v>
      </c>
      <c r="F2" s="2" t="s">
        <v>9</v>
      </c>
    </row>
    <row r="3">
      <c r="A3" s="1" t="s">
        <v>10</v>
      </c>
      <c r="B3" s="2">
        <v>1.250000505E9</v>
      </c>
      <c r="C3" s="3" t="s">
        <v>11</v>
      </c>
      <c r="D3" s="4">
        <v>45294.0</v>
      </c>
      <c r="E3" s="5" t="s">
        <v>12</v>
      </c>
      <c r="F3" s="2" t="s">
        <v>13</v>
      </c>
    </row>
    <row r="4">
      <c r="A4" s="1" t="s">
        <v>14</v>
      </c>
      <c r="B4" s="2">
        <v>1.250001764E9</v>
      </c>
      <c r="C4" s="3" t="s">
        <v>15</v>
      </c>
      <c r="D4" s="4">
        <v>45294.0</v>
      </c>
      <c r="E4" s="5" t="s">
        <v>16</v>
      </c>
      <c r="F4" s="2" t="s">
        <v>13</v>
      </c>
    </row>
    <row r="5">
      <c r="A5" s="1" t="s">
        <v>17</v>
      </c>
      <c r="B5" s="2">
        <v>1.250001496E9</v>
      </c>
      <c r="C5" s="3" t="s">
        <v>18</v>
      </c>
      <c r="D5" s="4">
        <v>45294.0</v>
      </c>
      <c r="E5" s="5" t="s">
        <v>19</v>
      </c>
      <c r="F5" s="2" t="s">
        <v>13</v>
      </c>
    </row>
    <row r="6">
      <c r="A6" s="1" t="s">
        <v>20</v>
      </c>
      <c r="B6" s="2">
        <v>1.200006565E9</v>
      </c>
      <c r="C6" s="3" t="s">
        <v>21</v>
      </c>
      <c r="D6" s="4">
        <v>45294.0</v>
      </c>
      <c r="E6" s="5" t="s">
        <v>22</v>
      </c>
      <c r="F6" s="2" t="s">
        <v>13</v>
      </c>
    </row>
    <row r="7">
      <c r="A7" s="1" t="s">
        <v>23</v>
      </c>
      <c r="B7" s="2">
        <v>1.250004966E9</v>
      </c>
      <c r="C7" s="3" t="s">
        <v>24</v>
      </c>
      <c r="D7" s="4">
        <v>45294.0</v>
      </c>
      <c r="E7" s="5" t="s">
        <v>25</v>
      </c>
      <c r="F7" s="2" t="s">
        <v>13</v>
      </c>
    </row>
    <row r="8">
      <c r="A8" s="1" t="s">
        <v>26</v>
      </c>
      <c r="B8" s="2">
        <v>1.250001764E9</v>
      </c>
      <c r="C8" s="3" t="s">
        <v>15</v>
      </c>
      <c r="D8" s="4">
        <v>45294.0</v>
      </c>
      <c r="E8" s="5" t="s">
        <v>27</v>
      </c>
      <c r="F8" s="2" t="s">
        <v>13</v>
      </c>
    </row>
    <row r="9">
      <c r="A9" s="1" t="s">
        <v>28</v>
      </c>
      <c r="B9" s="2">
        <v>1.250001142E9</v>
      </c>
      <c r="C9" s="3" t="s">
        <v>29</v>
      </c>
      <c r="D9" s="4">
        <v>45294.0</v>
      </c>
      <c r="E9" s="5" t="s">
        <v>30</v>
      </c>
      <c r="F9" s="2" t="s">
        <v>9</v>
      </c>
    </row>
    <row r="10">
      <c r="A10" s="1" t="s">
        <v>31</v>
      </c>
      <c r="B10" s="2">
        <v>1.200006417E9</v>
      </c>
      <c r="C10" s="3" t="s">
        <v>32</v>
      </c>
      <c r="D10" s="4">
        <v>45295.0</v>
      </c>
      <c r="E10" s="5" t="s">
        <v>16</v>
      </c>
      <c r="F10" s="2" t="s">
        <v>9</v>
      </c>
    </row>
    <row r="11">
      <c r="A11" s="1" t="s">
        <v>33</v>
      </c>
      <c r="B11" s="2">
        <v>1.250010315E9</v>
      </c>
      <c r="C11" s="3" t="s">
        <v>34</v>
      </c>
      <c r="D11" s="4">
        <v>45295.0</v>
      </c>
      <c r="E11" s="5" t="s">
        <v>35</v>
      </c>
      <c r="F11" s="2" t="s">
        <v>13</v>
      </c>
    </row>
    <row r="12">
      <c r="A12" s="1" t="s">
        <v>36</v>
      </c>
      <c r="B12" s="2">
        <v>1.250004938E9</v>
      </c>
      <c r="C12" s="3" t="s">
        <v>37</v>
      </c>
      <c r="D12" s="4">
        <v>45295.0</v>
      </c>
      <c r="E12" s="5" t="s">
        <v>38</v>
      </c>
      <c r="F12" s="2" t="s">
        <v>13</v>
      </c>
    </row>
    <row r="13">
      <c r="A13" s="1" t="s">
        <v>39</v>
      </c>
      <c r="B13" s="2">
        <v>1.250003997E9</v>
      </c>
      <c r="C13" s="3" t="s">
        <v>40</v>
      </c>
      <c r="D13" s="4">
        <v>45295.0</v>
      </c>
      <c r="E13" s="5" t="s">
        <v>41</v>
      </c>
      <c r="F13" s="2" t="s">
        <v>13</v>
      </c>
    </row>
    <row r="14">
      <c r="A14" s="1" t="s">
        <v>42</v>
      </c>
      <c r="B14" s="2">
        <v>1.250003421E9</v>
      </c>
      <c r="C14" s="3" t="s">
        <v>43</v>
      </c>
      <c r="D14" s="4">
        <v>45295.0</v>
      </c>
      <c r="E14" s="5" t="s">
        <v>44</v>
      </c>
      <c r="F14" s="2" t="s">
        <v>9</v>
      </c>
    </row>
    <row r="15">
      <c r="A15" s="1" t="s">
        <v>45</v>
      </c>
      <c r="B15" s="2">
        <v>1.200009067E9</v>
      </c>
      <c r="C15" s="3" t="s">
        <v>46</v>
      </c>
      <c r="D15" s="4">
        <v>45296.0</v>
      </c>
      <c r="E15" s="5" t="s">
        <v>47</v>
      </c>
      <c r="F15" s="2" t="s">
        <v>13</v>
      </c>
    </row>
    <row r="16">
      <c r="A16" s="1" t="s">
        <v>48</v>
      </c>
      <c r="B16" s="2">
        <v>1.250000118E9</v>
      </c>
      <c r="C16" s="3" t="s">
        <v>49</v>
      </c>
      <c r="D16" s="4">
        <v>45296.0</v>
      </c>
      <c r="E16" s="5" t="s">
        <v>50</v>
      </c>
      <c r="F16" s="2" t="s">
        <v>13</v>
      </c>
    </row>
    <row r="17">
      <c r="A17" s="1" t="s">
        <v>51</v>
      </c>
      <c r="B17" s="2">
        <v>1.250001741E9</v>
      </c>
      <c r="C17" s="3" t="s">
        <v>52</v>
      </c>
      <c r="D17" s="4">
        <v>45296.0</v>
      </c>
      <c r="E17" s="5" t="s">
        <v>53</v>
      </c>
      <c r="F17" s="2" t="s">
        <v>9</v>
      </c>
    </row>
    <row r="18">
      <c r="A18" s="1" t="s">
        <v>54</v>
      </c>
      <c r="B18" s="2">
        <v>1.250001142E9</v>
      </c>
      <c r="C18" s="3" t="s">
        <v>29</v>
      </c>
      <c r="D18" s="4">
        <v>45296.0</v>
      </c>
      <c r="E18" s="5" t="s">
        <v>55</v>
      </c>
      <c r="F18" s="2" t="s">
        <v>9</v>
      </c>
    </row>
    <row r="19">
      <c r="A19" s="1" t="s">
        <v>56</v>
      </c>
      <c r="B19" s="2">
        <v>1.200007688E9</v>
      </c>
      <c r="C19" s="3" t="s">
        <v>57</v>
      </c>
      <c r="D19" s="4">
        <v>45299.0</v>
      </c>
      <c r="E19" s="5" t="s">
        <v>58</v>
      </c>
      <c r="F19" s="2" t="s">
        <v>13</v>
      </c>
    </row>
    <row r="20">
      <c r="A20" s="1" t="s">
        <v>59</v>
      </c>
      <c r="B20" s="2">
        <v>1.250000913E9</v>
      </c>
      <c r="C20" s="3" t="s">
        <v>60</v>
      </c>
      <c r="D20" s="4">
        <v>45299.0</v>
      </c>
      <c r="E20" s="5" t="s">
        <v>61</v>
      </c>
      <c r="F20" s="2" t="s">
        <v>13</v>
      </c>
    </row>
    <row r="21">
      <c r="A21" s="1" t="s">
        <v>62</v>
      </c>
      <c r="B21" s="2">
        <v>1.250010259E9</v>
      </c>
      <c r="C21" s="3" t="s">
        <v>63</v>
      </c>
      <c r="D21" s="4">
        <v>45299.0</v>
      </c>
      <c r="E21" s="5" t="s">
        <v>64</v>
      </c>
      <c r="F21" s="2" t="s">
        <v>9</v>
      </c>
    </row>
    <row r="22">
      <c r="A22" s="1" t="s">
        <v>65</v>
      </c>
      <c r="B22" s="2">
        <v>1.250009502E9</v>
      </c>
      <c r="C22" s="3" t="s">
        <v>66</v>
      </c>
      <c r="D22" s="4">
        <v>45299.0</v>
      </c>
      <c r="E22" s="5" t="s">
        <v>67</v>
      </c>
      <c r="F22" s="2" t="s">
        <v>13</v>
      </c>
    </row>
    <row r="23">
      <c r="A23" s="1" t="s">
        <v>68</v>
      </c>
      <c r="B23" s="2">
        <v>1.250010233E9</v>
      </c>
      <c r="C23" s="3" t="s">
        <v>69</v>
      </c>
      <c r="D23" s="4">
        <v>45299.0</v>
      </c>
      <c r="E23" s="5" t="s">
        <v>70</v>
      </c>
      <c r="F23" s="2" t="s">
        <v>13</v>
      </c>
    </row>
    <row r="24">
      <c r="A24" s="1" t="s">
        <v>71</v>
      </c>
      <c r="B24" s="2">
        <v>1.250001764E9</v>
      </c>
      <c r="C24" s="3" t="s">
        <v>15</v>
      </c>
      <c r="D24" s="4">
        <v>45299.0</v>
      </c>
      <c r="E24" s="5" t="s">
        <v>72</v>
      </c>
      <c r="F24" s="2" t="s">
        <v>13</v>
      </c>
    </row>
    <row r="25">
      <c r="A25" s="1" t="s">
        <v>73</v>
      </c>
      <c r="B25" s="2">
        <v>1.250001764E9</v>
      </c>
      <c r="C25" s="3" t="s">
        <v>15</v>
      </c>
      <c r="D25" s="4">
        <v>45300.0</v>
      </c>
      <c r="E25" s="5" t="s">
        <v>74</v>
      </c>
      <c r="F25" s="2" t="s">
        <v>13</v>
      </c>
    </row>
    <row r="26">
      <c r="A26" s="1" t="s">
        <v>75</v>
      </c>
      <c r="B26" s="2">
        <v>1.200007688E9</v>
      </c>
      <c r="C26" s="3" t="s">
        <v>57</v>
      </c>
      <c r="D26" s="4">
        <v>45300.0</v>
      </c>
      <c r="E26" s="5" t="s">
        <v>76</v>
      </c>
      <c r="F26" s="2" t="s">
        <v>13</v>
      </c>
    </row>
    <row r="27">
      <c r="A27" s="1" t="s">
        <v>77</v>
      </c>
      <c r="B27" s="2">
        <v>1.200007688E9</v>
      </c>
      <c r="C27" s="3" t="s">
        <v>57</v>
      </c>
      <c r="D27" s="4">
        <v>45300.0</v>
      </c>
      <c r="E27" s="5" t="s">
        <v>76</v>
      </c>
      <c r="F27" s="2" t="s">
        <v>13</v>
      </c>
    </row>
    <row r="28">
      <c r="A28" s="1" t="s">
        <v>78</v>
      </c>
      <c r="B28" s="2">
        <v>1.200007688E9</v>
      </c>
      <c r="C28" s="3" t="s">
        <v>57</v>
      </c>
      <c r="D28" s="4">
        <v>45300.0</v>
      </c>
      <c r="E28" s="5" t="s">
        <v>76</v>
      </c>
      <c r="F28" s="2" t="s">
        <v>13</v>
      </c>
    </row>
    <row r="29">
      <c r="A29" s="1" t="s">
        <v>79</v>
      </c>
      <c r="B29" s="2">
        <v>1.200007688E9</v>
      </c>
      <c r="C29" s="3" t="s">
        <v>57</v>
      </c>
      <c r="D29" s="4">
        <v>45300.0</v>
      </c>
      <c r="E29" s="5" t="s">
        <v>76</v>
      </c>
      <c r="F29" s="2" t="s">
        <v>13</v>
      </c>
    </row>
    <row r="30">
      <c r="A30" s="1" t="s">
        <v>80</v>
      </c>
      <c r="B30" s="2">
        <v>1.250002203E9</v>
      </c>
      <c r="C30" s="3" t="s">
        <v>81</v>
      </c>
      <c r="D30" s="4">
        <v>45300.0</v>
      </c>
      <c r="E30" s="5" t="s">
        <v>82</v>
      </c>
      <c r="F30" s="2" t="s">
        <v>13</v>
      </c>
    </row>
    <row r="31">
      <c r="A31" s="1" t="s">
        <v>83</v>
      </c>
      <c r="B31" s="2">
        <v>1.250009745E9</v>
      </c>
      <c r="C31" s="3" t="s">
        <v>84</v>
      </c>
      <c r="D31" s="4">
        <v>45300.0</v>
      </c>
      <c r="E31" s="5" t="s">
        <v>85</v>
      </c>
      <c r="F31" s="2" t="s">
        <v>13</v>
      </c>
    </row>
    <row r="32">
      <c r="A32" s="1" t="s">
        <v>86</v>
      </c>
      <c r="B32" s="2">
        <v>1.20000892E9</v>
      </c>
      <c r="C32" s="3" t="s">
        <v>87</v>
      </c>
      <c r="D32" s="4">
        <v>45301.0</v>
      </c>
      <c r="E32" s="5" t="s">
        <v>88</v>
      </c>
      <c r="F32" s="2" t="s">
        <v>13</v>
      </c>
    </row>
    <row r="33">
      <c r="A33" s="1" t="s">
        <v>89</v>
      </c>
      <c r="B33" s="2">
        <v>1.20000789E9</v>
      </c>
      <c r="C33" s="3" t="s">
        <v>90</v>
      </c>
      <c r="D33" s="4">
        <v>45301.0</v>
      </c>
      <c r="E33" s="5" t="s">
        <v>91</v>
      </c>
      <c r="F33" s="2" t="s">
        <v>13</v>
      </c>
    </row>
    <row r="34">
      <c r="A34" s="1" t="s">
        <v>92</v>
      </c>
      <c r="B34" s="2">
        <v>1.250009892E9</v>
      </c>
      <c r="C34" s="3" t="s">
        <v>93</v>
      </c>
      <c r="D34" s="4">
        <v>45301.0</v>
      </c>
      <c r="E34" s="5" t="s">
        <v>94</v>
      </c>
      <c r="F34" s="2" t="s">
        <v>13</v>
      </c>
    </row>
    <row r="35">
      <c r="A35" s="1" t="s">
        <v>95</v>
      </c>
      <c r="B35" s="2">
        <v>1.250009892E9</v>
      </c>
      <c r="C35" s="3" t="s">
        <v>93</v>
      </c>
      <c r="D35" s="4">
        <v>45301.0</v>
      </c>
      <c r="E35" s="5" t="s">
        <v>96</v>
      </c>
      <c r="F35" s="2" t="s">
        <v>13</v>
      </c>
    </row>
    <row r="36">
      <c r="A36" s="1" t="s">
        <v>97</v>
      </c>
      <c r="B36" s="2">
        <v>1.250010341E9</v>
      </c>
      <c r="C36" s="3" t="s">
        <v>98</v>
      </c>
      <c r="D36" s="4">
        <v>45302.0</v>
      </c>
      <c r="E36" s="5" t="s">
        <v>99</v>
      </c>
      <c r="F36" s="2" t="s">
        <v>13</v>
      </c>
    </row>
    <row r="37">
      <c r="A37" s="1" t="s">
        <v>100</v>
      </c>
      <c r="B37" s="2">
        <v>1.250010341E9</v>
      </c>
      <c r="C37" s="3" t="s">
        <v>98</v>
      </c>
      <c r="D37" s="4">
        <v>45302.0</v>
      </c>
      <c r="E37" s="5" t="s">
        <v>101</v>
      </c>
      <c r="F37" s="2" t="s">
        <v>13</v>
      </c>
    </row>
    <row r="38">
      <c r="A38" s="1" t="s">
        <v>102</v>
      </c>
      <c r="B38" s="2">
        <v>1.250001348E9</v>
      </c>
      <c r="C38" s="3" t="s">
        <v>103</v>
      </c>
      <c r="D38" s="4">
        <v>45302.0</v>
      </c>
      <c r="E38" s="5" t="s">
        <v>104</v>
      </c>
      <c r="F38" s="2" t="s">
        <v>13</v>
      </c>
    </row>
    <row r="39">
      <c r="A39" s="1" t="s">
        <v>105</v>
      </c>
      <c r="B39" s="2">
        <v>1.250000034E9</v>
      </c>
      <c r="C39" s="3" t="s">
        <v>106</v>
      </c>
      <c r="D39" s="4">
        <v>45302.0</v>
      </c>
      <c r="E39" s="5" t="s">
        <v>107</v>
      </c>
      <c r="F39" s="2" t="s">
        <v>9</v>
      </c>
    </row>
    <row r="40">
      <c r="A40" s="1" t="s">
        <v>108</v>
      </c>
      <c r="B40" s="2">
        <v>1.250009745E9</v>
      </c>
      <c r="C40" s="3" t="s">
        <v>84</v>
      </c>
      <c r="D40" s="4">
        <v>45303.0</v>
      </c>
      <c r="E40" s="5" t="s">
        <v>109</v>
      </c>
      <c r="F40" s="2" t="s">
        <v>13</v>
      </c>
    </row>
    <row r="41">
      <c r="A41" s="1" t="s">
        <v>110</v>
      </c>
      <c r="B41" s="2">
        <v>1.250004887E9</v>
      </c>
      <c r="C41" s="3" t="s">
        <v>111</v>
      </c>
      <c r="D41" s="4">
        <v>45303.0</v>
      </c>
      <c r="E41" s="5" t="s">
        <v>112</v>
      </c>
      <c r="F41" s="2" t="s">
        <v>13</v>
      </c>
    </row>
    <row r="42">
      <c r="A42" s="1" t="s">
        <v>113</v>
      </c>
      <c r="B42" s="2">
        <v>1.250009745E9</v>
      </c>
      <c r="C42" s="3" t="s">
        <v>84</v>
      </c>
      <c r="D42" s="4">
        <v>45303.0</v>
      </c>
      <c r="E42" s="5" t="s">
        <v>114</v>
      </c>
      <c r="F42" s="2" t="s">
        <v>13</v>
      </c>
    </row>
    <row r="43">
      <c r="A43" s="1" t="s">
        <v>115</v>
      </c>
      <c r="B43" s="2">
        <v>1.250003753E9</v>
      </c>
      <c r="C43" s="3" t="s">
        <v>116</v>
      </c>
      <c r="D43" s="4">
        <v>45303.0</v>
      </c>
      <c r="E43" s="5" t="s">
        <v>117</v>
      </c>
      <c r="F43" s="2" t="s">
        <v>13</v>
      </c>
    </row>
    <row r="44">
      <c r="A44" s="1" t="s">
        <v>118</v>
      </c>
      <c r="B44" s="2">
        <v>1.250000438E9</v>
      </c>
      <c r="C44" s="3" t="s">
        <v>119</v>
      </c>
      <c r="D44" s="4">
        <v>45303.0</v>
      </c>
      <c r="E44" s="5" t="s">
        <v>120</v>
      </c>
      <c r="F44" s="2" t="s">
        <v>9</v>
      </c>
    </row>
    <row r="45">
      <c r="A45" s="1" t="s">
        <v>121</v>
      </c>
      <c r="B45" s="2">
        <v>1.250001496E9</v>
      </c>
      <c r="C45" s="3" t="s">
        <v>18</v>
      </c>
      <c r="D45" s="4">
        <v>45304.0</v>
      </c>
      <c r="E45" s="5" t="s">
        <v>122</v>
      </c>
      <c r="F45" s="2" t="s">
        <v>13</v>
      </c>
    </row>
    <row r="46">
      <c r="A46" s="1" t="s">
        <v>123</v>
      </c>
      <c r="B46" s="2">
        <v>1.250001496E9</v>
      </c>
      <c r="C46" s="3" t="s">
        <v>18</v>
      </c>
      <c r="D46" s="4">
        <v>45304.0</v>
      </c>
      <c r="E46" s="5" t="s">
        <v>124</v>
      </c>
      <c r="F46" s="2" t="s">
        <v>13</v>
      </c>
    </row>
    <row r="47">
      <c r="A47" s="1" t="s">
        <v>125</v>
      </c>
      <c r="B47" s="2">
        <v>1.250001496E9</v>
      </c>
      <c r="C47" s="3" t="s">
        <v>18</v>
      </c>
      <c r="D47" s="4">
        <v>45304.0</v>
      </c>
      <c r="E47" s="5" t="s">
        <v>126</v>
      </c>
      <c r="F47" s="2" t="s">
        <v>13</v>
      </c>
    </row>
    <row r="48">
      <c r="A48" s="1" t="s">
        <v>127</v>
      </c>
      <c r="B48" s="2">
        <v>1.200007409E9</v>
      </c>
      <c r="C48" s="3" t="s">
        <v>128</v>
      </c>
      <c r="D48" s="4">
        <v>45306.0</v>
      </c>
      <c r="E48" s="5" t="s">
        <v>129</v>
      </c>
      <c r="F48" s="2" t="s">
        <v>13</v>
      </c>
    </row>
    <row r="49">
      <c r="A49" s="1" t="s">
        <v>130</v>
      </c>
      <c r="B49" s="2">
        <v>1.250004371E9</v>
      </c>
      <c r="C49" s="3" t="s">
        <v>131</v>
      </c>
      <c r="D49" s="4">
        <v>45306.0</v>
      </c>
      <c r="E49" s="5" t="s">
        <v>132</v>
      </c>
      <c r="F49" s="2" t="s">
        <v>13</v>
      </c>
    </row>
    <row r="50">
      <c r="A50" s="1" t="s">
        <v>133</v>
      </c>
      <c r="B50" s="2">
        <v>1.200008426E9</v>
      </c>
      <c r="C50" s="3" t="s">
        <v>134</v>
      </c>
      <c r="D50" s="4">
        <v>45306.0</v>
      </c>
      <c r="E50" s="5" t="s">
        <v>135</v>
      </c>
      <c r="F50" s="2" t="s">
        <v>13</v>
      </c>
    </row>
    <row r="51">
      <c r="A51" s="1" t="s">
        <v>136</v>
      </c>
      <c r="B51" s="2">
        <v>1.250010348E9</v>
      </c>
      <c r="C51" s="3" t="s">
        <v>137</v>
      </c>
      <c r="D51" s="4">
        <v>45306.0</v>
      </c>
      <c r="E51" s="5" t="s">
        <v>138</v>
      </c>
      <c r="F51" s="2" t="s">
        <v>139</v>
      </c>
    </row>
    <row r="52">
      <c r="A52" s="1" t="s">
        <v>140</v>
      </c>
      <c r="B52" s="2">
        <v>1.250001764E9</v>
      </c>
      <c r="C52" s="3" t="s">
        <v>15</v>
      </c>
      <c r="D52" s="4">
        <v>45307.0</v>
      </c>
      <c r="E52" s="5" t="s">
        <v>141</v>
      </c>
      <c r="F52" s="2" t="s">
        <v>13</v>
      </c>
    </row>
    <row r="53">
      <c r="A53" s="1" t="s">
        <v>142</v>
      </c>
      <c r="B53" s="2">
        <v>1.250004887E9</v>
      </c>
      <c r="C53" s="3" t="s">
        <v>111</v>
      </c>
      <c r="D53" s="4">
        <v>45307.0</v>
      </c>
      <c r="E53" s="5" t="s">
        <v>143</v>
      </c>
      <c r="F53" s="2" t="s">
        <v>13</v>
      </c>
    </row>
    <row r="54">
      <c r="A54" s="1" t="s">
        <v>144</v>
      </c>
      <c r="B54" s="2">
        <v>1.250001319E9</v>
      </c>
      <c r="C54" s="3" t="s">
        <v>145</v>
      </c>
      <c r="D54" s="4">
        <v>45307.0</v>
      </c>
      <c r="E54" s="5" t="s">
        <v>146</v>
      </c>
      <c r="F54" s="2" t="s">
        <v>13</v>
      </c>
    </row>
    <row r="55">
      <c r="A55" s="1" t="s">
        <v>147</v>
      </c>
      <c r="B55" s="2">
        <v>1.250002059E9</v>
      </c>
      <c r="C55" s="3" t="s">
        <v>148</v>
      </c>
      <c r="D55" s="4">
        <v>45307.0</v>
      </c>
      <c r="E55" s="5" t="s">
        <v>149</v>
      </c>
      <c r="F55" s="2" t="s">
        <v>13</v>
      </c>
    </row>
    <row r="56">
      <c r="A56" s="1" t="s">
        <v>150</v>
      </c>
      <c r="B56" s="2">
        <v>1.250001319E9</v>
      </c>
      <c r="C56" s="3" t="s">
        <v>145</v>
      </c>
      <c r="D56" s="4">
        <v>45307.0</v>
      </c>
      <c r="E56" s="5" t="s">
        <v>151</v>
      </c>
      <c r="F56" s="2" t="s">
        <v>13</v>
      </c>
    </row>
    <row r="57">
      <c r="A57" s="1" t="s">
        <v>152</v>
      </c>
      <c r="B57" s="2">
        <v>1.250001319E9</v>
      </c>
      <c r="C57" s="3" t="s">
        <v>145</v>
      </c>
      <c r="D57" s="4">
        <v>45307.0</v>
      </c>
      <c r="E57" s="5" t="s">
        <v>153</v>
      </c>
      <c r="F57" s="2" t="s">
        <v>13</v>
      </c>
    </row>
    <row r="58">
      <c r="A58" s="1" t="s">
        <v>154</v>
      </c>
      <c r="B58" s="2">
        <v>1.250003015E9</v>
      </c>
      <c r="C58" s="3" t="s">
        <v>155</v>
      </c>
      <c r="D58" s="4">
        <v>45307.0</v>
      </c>
      <c r="E58" s="5" t="s">
        <v>156</v>
      </c>
      <c r="F58" s="2" t="s">
        <v>13</v>
      </c>
    </row>
    <row r="59">
      <c r="A59" s="1" t="s">
        <v>157</v>
      </c>
      <c r="B59" s="2">
        <v>1.250003015E9</v>
      </c>
      <c r="C59" s="3" t="s">
        <v>155</v>
      </c>
      <c r="D59" s="4">
        <v>45307.0</v>
      </c>
      <c r="E59" s="5" t="s">
        <v>158</v>
      </c>
      <c r="F59" s="2" t="s">
        <v>13</v>
      </c>
    </row>
    <row r="60">
      <c r="A60" s="1" t="s">
        <v>159</v>
      </c>
      <c r="B60" s="2">
        <v>1.25000178E9</v>
      </c>
      <c r="C60" s="3" t="s">
        <v>160</v>
      </c>
      <c r="D60" s="4">
        <v>45308.0</v>
      </c>
      <c r="E60" s="5" t="s">
        <v>161</v>
      </c>
      <c r="F60" s="2" t="s">
        <v>13</v>
      </c>
    </row>
    <row r="61">
      <c r="A61" s="1" t="s">
        <v>162</v>
      </c>
      <c r="B61" s="2">
        <v>1.200008537E9</v>
      </c>
      <c r="C61" s="3" t="s">
        <v>163</v>
      </c>
      <c r="D61" s="4">
        <v>45308.0</v>
      </c>
      <c r="E61" s="5" t="s">
        <v>164</v>
      </c>
      <c r="F61" s="2" t="s">
        <v>13</v>
      </c>
    </row>
    <row r="62">
      <c r="A62" s="1" t="s">
        <v>165</v>
      </c>
      <c r="B62" s="2">
        <v>1.250009423E9</v>
      </c>
      <c r="C62" s="3" t="s">
        <v>166</v>
      </c>
      <c r="D62" s="4">
        <v>45308.0</v>
      </c>
      <c r="E62" s="5" t="s">
        <v>167</v>
      </c>
      <c r="F62" s="2" t="s">
        <v>13</v>
      </c>
    </row>
    <row r="63">
      <c r="A63" s="1" t="s">
        <v>168</v>
      </c>
      <c r="B63" s="2">
        <v>1.200006917E9</v>
      </c>
      <c r="C63" s="3" t="s">
        <v>169</v>
      </c>
      <c r="D63" s="4">
        <v>45308.0</v>
      </c>
      <c r="E63" s="5" t="s">
        <v>170</v>
      </c>
      <c r="F63" s="2" t="s">
        <v>13</v>
      </c>
    </row>
    <row r="64">
      <c r="A64" s="1" t="s">
        <v>171</v>
      </c>
      <c r="B64" s="2">
        <v>1.250002653E9</v>
      </c>
      <c r="C64" s="3" t="s">
        <v>172</v>
      </c>
      <c r="D64" s="4">
        <v>45308.0</v>
      </c>
      <c r="E64" s="5" t="s">
        <v>173</v>
      </c>
      <c r="F64" s="2" t="s">
        <v>13</v>
      </c>
    </row>
    <row r="65">
      <c r="A65" s="1" t="s">
        <v>174</v>
      </c>
      <c r="B65" s="2">
        <v>1.250001178E9</v>
      </c>
      <c r="C65" s="3" t="s">
        <v>175</v>
      </c>
      <c r="D65" s="4">
        <v>45309.0</v>
      </c>
      <c r="E65" s="5" t="s">
        <v>176</v>
      </c>
      <c r="F65" s="2" t="s">
        <v>13</v>
      </c>
    </row>
    <row r="66">
      <c r="A66" s="1" t="s">
        <v>177</v>
      </c>
      <c r="B66" s="2">
        <v>1.250004411E9</v>
      </c>
      <c r="C66" s="3" t="s">
        <v>178</v>
      </c>
      <c r="D66" s="4">
        <v>45309.0</v>
      </c>
      <c r="E66" s="5" t="s">
        <v>179</v>
      </c>
      <c r="F66" s="2" t="s">
        <v>13</v>
      </c>
    </row>
    <row r="67">
      <c r="A67" s="1" t="s">
        <v>180</v>
      </c>
      <c r="B67" s="2">
        <v>1.200007752E9</v>
      </c>
      <c r="C67" s="3" t="s">
        <v>181</v>
      </c>
      <c r="D67" s="4">
        <v>45309.0</v>
      </c>
      <c r="E67" s="5" t="s">
        <v>182</v>
      </c>
      <c r="F67" s="2" t="s">
        <v>13</v>
      </c>
    </row>
    <row r="68">
      <c r="A68" s="1" t="s">
        <v>183</v>
      </c>
      <c r="B68" s="2">
        <v>1.220000614E9</v>
      </c>
      <c r="C68" s="3" t="s">
        <v>184</v>
      </c>
      <c r="D68" s="4">
        <v>45310.0</v>
      </c>
      <c r="E68" s="5" t="s">
        <v>185</v>
      </c>
      <c r="F68" s="2" t="s">
        <v>13</v>
      </c>
    </row>
    <row r="69">
      <c r="A69" s="1" t="s">
        <v>186</v>
      </c>
      <c r="B69" s="2">
        <v>1.200007686E9</v>
      </c>
      <c r="C69" s="3" t="s">
        <v>187</v>
      </c>
      <c r="D69" s="4">
        <v>45310.0</v>
      </c>
      <c r="E69" s="5" t="s">
        <v>188</v>
      </c>
      <c r="F69" s="2" t="s">
        <v>13</v>
      </c>
    </row>
    <row r="70">
      <c r="A70" s="1" t="s">
        <v>189</v>
      </c>
      <c r="B70" s="2">
        <v>1.250000164E9</v>
      </c>
      <c r="C70" s="3" t="s">
        <v>190</v>
      </c>
      <c r="D70" s="4">
        <v>45313.0</v>
      </c>
      <c r="E70" s="5" t="s">
        <v>191</v>
      </c>
      <c r="F70" s="2" t="s">
        <v>13</v>
      </c>
    </row>
    <row r="71">
      <c r="A71" s="1" t="s">
        <v>192</v>
      </c>
      <c r="B71" s="2">
        <v>1.200008786E9</v>
      </c>
      <c r="C71" s="3" t="s">
        <v>193</v>
      </c>
      <c r="D71" s="4">
        <v>45313.0</v>
      </c>
      <c r="E71" s="5" t="s">
        <v>194</v>
      </c>
      <c r="F71" s="2" t="s">
        <v>13</v>
      </c>
    </row>
    <row r="72">
      <c r="A72" s="1" t="s">
        <v>195</v>
      </c>
      <c r="B72" s="2">
        <v>1.200006917E9</v>
      </c>
      <c r="C72" s="3" t="s">
        <v>169</v>
      </c>
      <c r="D72" s="4">
        <v>45313.0</v>
      </c>
      <c r="E72" s="5" t="s">
        <v>196</v>
      </c>
      <c r="F72" s="2" t="s">
        <v>13</v>
      </c>
    </row>
    <row r="73">
      <c r="A73" s="1" t="s">
        <v>197</v>
      </c>
      <c r="B73" s="2">
        <v>1.250002653E9</v>
      </c>
      <c r="C73" s="3" t="s">
        <v>172</v>
      </c>
      <c r="D73" s="4">
        <v>45313.0</v>
      </c>
      <c r="E73" s="5" t="s">
        <v>198</v>
      </c>
      <c r="F73" s="2" t="s">
        <v>13</v>
      </c>
    </row>
    <row r="74">
      <c r="A74" s="1" t="s">
        <v>199</v>
      </c>
      <c r="B74" s="2">
        <v>1.250005019E9</v>
      </c>
      <c r="C74" s="3" t="s">
        <v>200</v>
      </c>
      <c r="D74" s="4">
        <v>45313.0</v>
      </c>
      <c r="E74" s="5" t="s">
        <v>201</v>
      </c>
      <c r="F74" s="2" t="s">
        <v>13</v>
      </c>
    </row>
    <row r="75">
      <c r="A75" s="1" t="s">
        <v>202</v>
      </c>
      <c r="B75" s="2">
        <v>1.250005019E9</v>
      </c>
      <c r="C75" s="3" t="s">
        <v>200</v>
      </c>
      <c r="D75" s="4">
        <v>45313.0</v>
      </c>
      <c r="E75" s="5" t="s">
        <v>203</v>
      </c>
      <c r="F75" s="2" t="s">
        <v>13</v>
      </c>
    </row>
    <row r="76">
      <c r="A76" s="1" t="s">
        <v>204</v>
      </c>
      <c r="B76" s="2">
        <v>1.250009576E9</v>
      </c>
      <c r="C76" s="3" t="s">
        <v>205</v>
      </c>
      <c r="D76" s="4">
        <v>45313.0</v>
      </c>
      <c r="E76" s="5" t="s">
        <v>206</v>
      </c>
      <c r="F76" s="2" t="s">
        <v>13</v>
      </c>
    </row>
    <row r="77">
      <c r="A77" s="1" t="s">
        <v>207</v>
      </c>
      <c r="B77" s="2">
        <v>1.200007818E9</v>
      </c>
      <c r="C77" s="3" t="s">
        <v>208</v>
      </c>
      <c r="D77" s="4">
        <v>45313.0</v>
      </c>
      <c r="E77" s="5" t="s">
        <v>209</v>
      </c>
      <c r="F77" s="2" t="s">
        <v>9</v>
      </c>
    </row>
    <row r="78">
      <c r="A78" s="1" t="s">
        <v>210</v>
      </c>
      <c r="B78" s="2">
        <v>1.250001764E9</v>
      </c>
      <c r="C78" s="3" t="s">
        <v>15</v>
      </c>
      <c r="D78" s="4">
        <v>45314.0</v>
      </c>
      <c r="E78" s="5" t="s">
        <v>211</v>
      </c>
      <c r="F78" s="2" t="s">
        <v>13</v>
      </c>
    </row>
    <row r="79">
      <c r="A79" s="1" t="s">
        <v>212</v>
      </c>
      <c r="B79" s="2">
        <v>1.250010352E9</v>
      </c>
      <c r="C79" s="3" t="s">
        <v>213</v>
      </c>
      <c r="D79" s="4">
        <v>45314.0</v>
      </c>
      <c r="E79" s="5" t="s">
        <v>214</v>
      </c>
      <c r="F79" s="2" t="s">
        <v>139</v>
      </c>
    </row>
    <row r="80">
      <c r="A80" s="1" t="s">
        <v>215</v>
      </c>
      <c r="B80" s="2">
        <v>1.250001276E9</v>
      </c>
      <c r="C80" s="3" t="s">
        <v>216</v>
      </c>
      <c r="D80" s="4">
        <v>45314.0</v>
      </c>
      <c r="E80" s="5" t="s">
        <v>217</v>
      </c>
      <c r="F80" s="2" t="s">
        <v>9</v>
      </c>
    </row>
    <row r="81">
      <c r="A81" s="1" t="s">
        <v>218</v>
      </c>
      <c r="B81" s="2">
        <v>1.250001764E9</v>
      </c>
      <c r="C81" s="3" t="s">
        <v>15</v>
      </c>
      <c r="D81" s="4">
        <v>45314.0</v>
      </c>
      <c r="E81" s="5" t="s">
        <v>219</v>
      </c>
      <c r="F81" s="2" t="s">
        <v>13</v>
      </c>
    </row>
    <row r="82">
      <c r="A82" s="1" t="s">
        <v>220</v>
      </c>
      <c r="B82" s="2">
        <v>1.200008869E9</v>
      </c>
      <c r="C82" s="3" t="s">
        <v>221</v>
      </c>
      <c r="D82" s="4">
        <v>45314.0</v>
      </c>
      <c r="E82" s="5" t="s">
        <v>222</v>
      </c>
      <c r="F82" s="2" t="s">
        <v>13</v>
      </c>
    </row>
    <row r="83">
      <c r="A83" s="1" t="s">
        <v>223</v>
      </c>
      <c r="B83" s="2">
        <v>1.200008243E9</v>
      </c>
      <c r="C83" s="3" t="s">
        <v>224</v>
      </c>
      <c r="D83" s="4">
        <v>45314.0</v>
      </c>
      <c r="E83" s="5" t="s">
        <v>225</v>
      </c>
      <c r="F83" s="2" t="s">
        <v>13</v>
      </c>
    </row>
    <row r="84">
      <c r="A84" s="1" t="s">
        <v>226</v>
      </c>
      <c r="B84" s="2">
        <v>1.250009576E9</v>
      </c>
      <c r="C84" s="3" t="s">
        <v>205</v>
      </c>
      <c r="D84" s="4">
        <v>45314.0</v>
      </c>
      <c r="E84" s="5" t="s">
        <v>227</v>
      </c>
      <c r="F84" s="2" t="s">
        <v>13</v>
      </c>
    </row>
    <row r="85">
      <c r="A85" s="1" t="s">
        <v>228</v>
      </c>
      <c r="B85" s="2">
        <v>1.250001142E9</v>
      </c>
      <c r="C85" s="3" t="s">
        <v>29</v>
      </c>
      <c r="D85" s="4">
        <v>45314.0</v>
      </c>
      <c r="E85" s="5" t="s">
        <v>229</v>
      </c>
      <c r="F85" s="2" t="s">
        <v>9</v>
      </c>
    </row>
    <row r="86">
      <c r="A86" s="1" t="s">
        <v>230</v>
      </c>
      <c r="B86" s="2">
        <v>1.250002423E9</v>
      </c>
      <c r="C86" s="3" t="s">
        <v>231</v>
      </c>
      <c r="D86" s="4">
        <v>45314.0</v>
      </c>
      <c r="E86" s="5" t="s">
        <v>232</v>
      </c>
      <c r="F86" s="2" t="s">
        <v>9</v>
      </c>
    </row>
    <row r="87">
      <c r="A87" s="1" t="s">
        <v>233</v>
      </c>
      <c r="B87" s="2">
        <v>1.250001142E9</v>
      </c>
      <c r="C87" s="3" t="s">
        <v>29</v>
      </c>
      <c r="D87" s="4">
        <v>45314.0</v>
      </c>
      <c r="E87" s="5" t="s">
        <v>234</v>
      </c>
      <c r="F87" s="2" t="s">
        <v>9</v>
      </c>
    </row>
    <row r="88">
      <c r="A88" s="1" t="s">
        <v>235</v>
      </c>
      <c r="B88" s="2">
        <v>1.250001764E9</v>
      </c>
      <c r="C88" s="3" t="s">
        <v>15</v>
      </c>
      <c r="D88" s="4">
        <v>45314.0</v>
      </c>
      <c r="E88" s="5" t="s">
        <v>236</v>
      </c>
      <c r="F88" s="2" t="s">
        <v>13</v>
      </c>
    </row>
    <row r="89">
      <c r="A89" s="1" t="s">
        <v>237</v>
      </c>
      <c r="B89" s="2">
        <v>1.250000438E9</v>
      </c>
      <c r="C89" s="3" t="s">
        <v>119</v>
      </c>
      <c r="D89" s="4">
        <v>45315.0</v>
      </c>
      <c r="E89" s="5" t="s">
        <v>238</v>
      </c>
      <c r="F89" s="2" t="s">
        <v>9</v>
      </c>
    </row>
    <row r="90">
      <c r="A90" s="1" t="s">
        <v>239</v>
      </c>
      <c r="B90" s="2">
        <v>1.250000147E9</v>
      </c>
      <c r="C90" s="3" t="s">
        <v>240</v>
      </c>
      <c r="D90" s="4">
        <v>45315.0</v>
      </c>
      <c r="E90" s="5" t="s">
        <v>241</v>
      </c>
      <c r="F90" s="2" t="s">
        <v>13</v>
      </c>
    </row>
    <row r="91">
      <c r="A91" s="1" t="s">
        <v>242</v>
      </c>
      <c r="B91" s="2">
        <v>1.200007752E9</v>
      </c>
      <c r="C91" s="3" t="s">
        <v>181</v>
      </c>
      <c r="D91" s="4">
        <v>45315.0</v>
      </c>
      <c r="E91" s="5" t="s">
        <v>243</v>
      </c>
      <c r="F91" s="2" t="s">
        <v>13</v>
      </c>
    </row>
    <row r="92">
      <c r="A92" s="1" t="s">
        <v>244</v>
      </c>
      <c r="B92" s="2">
        <v>1.250000629E9</v>
      </c>
      <c r="C92" s="3" t="s">
        <v>245</v>
      </c>
      <c r="D92" s="4">
        <v>45315.0</v>
      </c>
      <c r="E92" s="5" t="s">
        <v>246</v>
      </c>
      <c r="F92" s="2" t="s">
        <v>9</v>
      </c>
    </row>
    <row r="93">
      <c r="A93" s="1" t="s">
        <v>247</v>
      </c>
      <c r="B93" s="2">
        <v>1.250000629E9</v>
      </c>
      <c r="C93" s="3" t="s">
        <v>245</v>
      </c>
      <c r="D93" s="4">
        <v>45315.0</v>
      </c>
      <c r="E93" s="5" t="s">
        <v>248</v>
      </c>
      <c r="F93" s="2" t="s">
        <v>9</v>
      </c>
    </row>
    <row r="94">
      <c r="A94" s="1" t="s">
        <v>249</v>
      </c>
      <c r="B94" s="2">
        <v>1.250000438E9</v>
      </c>
      <c r="C94" s="3" t="s">
        <v>119</v>
      </c>
      <c r="D94" s="4">
        <v>45315.0</v>
      </c>
      <c r="E94" s="5" t="s">
        <v>250</v>
      </c>
      <c r="F94" s="2" t="s">
        <v>9</v>
      </c>
    </row>
    <row r="95">
      <c r="A95" s="1" t="s">
        <v>251</v>
      </c>
      <c r="B95" s="2">
        <v>1.250000255E9</v>
      </c>
      <c r="C95" s="3" t="s">
        <v>252</v>
      </c>
      <c r="D95" s="4">
        <v>45315.0</v>
      </c>
      <c r="E95" s="5" t="s">
        <v>253</v>
      </c>
      <c r="F95" s="2" t="s">
        <v>9</v>
      </c>
    </row>
    <row r="96">
      <c r="A96" s="1" t="s">
        <v>254</v>
      </c>
      <c r="B96" s="2">
        <v>1.250003683E9</v>
      </c>
      <c r="C96" s="3" t="s">
        <v>255</v>
      </c>
      <c r="D96" s="4">
        <v>45315.0</v>
      </c>
      <c r="E96" s="5" t="s">
        <v>256</v>
      </c>
      <c r="F96" s="2" t="s">
        <v>13</v>
      </c>
    </row>
    <row r="97">
      <c r="A97" s="1" t="s">
        <v>257</v>
      </c>
      <c r="B97" s="2">
        <v>1.250000438E9</v>
      </c>
      <c r="C97" s="3" t="s">
        <v>119</v>
      </c>
      <c r="D97" s="4">
        <v>45315.0</v>
      </c>
      <c r="E97" s="5" t="s">
        <v>258</v>
      </c>
      <c r="F97" s="2" t="s">
        <v>9</v>
      </c>
    </row>
    <row r="98">
      <c r="A98" s="1" t="s">
        <v>259</v>
      </c>
      <c r="B98" s="2">
        <v>1.250000438E9</v>
      </c>
      <c r="C98" s="3" t="s">
        <v>119</v>
      </c>
      <c r="D98" s="4">
        <v>45315.0</v>
      </c>
      <c r="E98" s="5" t="s">
        <v>260</v>
      </c>
      <c r="F98" s="2" t="s">
        <v>9</v>
      </c>
    </row>
    <row r="99">
      <c r="A99" s="1" t="s">
        <v>261</v>
      </c>
      <c r="B99" s="2">
        <v>1.250002297E9</v>
      </c>
      <c r="C99" s="3" t="s">
        <v>262</v>
      </c>
      <c r="D99" s="4">
        <v>45316.0</v>
      </c>
      <c r="E99" s="5" t="s">
        <v>263</v>
      </c>
      <c r="F99" s="2" t="s">
        <v>9</v>
      </c>
    </row>
    <row r="100">
      <c r="A100" s="1" t="s">
        <v>264</v>
      </c>
      <c r="B100" s="2">
        <v>1.200008027E9</v>
      </c>
      <c r="C100" s="3" t="s">
        <v>265</v>
      </c>
      <c r="D100" s="4">
        <v>45316.0</v>
      </c>
      <c r="E100" s="5" t="s">
        <v>196</v>
      </c>
      <c r="F100" s="2" t="s">
        <v>13</v>
      </c>
    </row>
    <row r="101">
      <c r="A101" s="1" t="s">
        <v>266</v>
      </c>
      <c r="B101" s="2">
        <v>1.200008447E9</v>
      </c>
      <c r="C101" s="3" t="s">
        <v>267</v>
      </c>
      <c r="D101" s="4">
        <v>45316.0</v>
      </c>
      <c r="E101" s="5" t="s">
        <v>268</v>
      </c>
      <c r="F101" s="2" t="s">
        <v>13</v>
      </c>
    </row>
    <row r="102">
      <c r="A102" s="1" t="s">
        <v>269</v>
      </c>
      <c r="B102" s="2">
        <v>1.250010361E9</v>
      </c>
      <c r="C102" s="3" t="s">
        <v>270</v>
      </c>
      <c r="D102" s="4">
        <v>45317.0</v>
      </c>
      <c r="E102" s="5" t="s">
        <v>271</v>
      </c>
      <c r="F102" s="2" t="s">
        <v>139</v>
      </c>
    </row>
    <row r="103">
      <c r="A103" s="1" t="s">
        <v>272</v>
      </c>
      <c r="B103" s="2">
        <v>1.25000382E9</v>
      </c>
      <c r="C103" s="3" t="s">
        <v>273</v>
      </c>
      <c r="D103" s="4">
        <v>45317.0</v>
      </c>
      <c r="E103" s="5" t="s">
        <v>274</v>
      </c>
      <c r="F103" s="2" t="s">
        <v>13</v>
      </c>
    </row>
    <row r="104">
      <c r="A104" s="1" t="s">
        <v>275</v>
      </c>
      <c r="B104" s="2">
        <v>1.250001434E9</v>
      </c>
      <c r="C104" s="3" t="s">
        <v>276</v>
      </c>
      <c r="D104" s="4">
        <v>45317.0</v>
      </c>
      <c r="E104" s="5" t="s">
        <v>277</v>
      </c>
      <c r="F104" s="2" t="s">
        <v>9</v>
      </c>
    </row>
    <row r="105">
      <c r="A105" s="1" t="s">
        <v>278</v>
      </c>
      <c r="B105" s="2">
        <v>1.250001628E9</v>
      </c>
      <c r="C105" s="3" t="s">
        <v>279</v>
      </c>
      <c r="D105" s="4">
        <v>45317.0</v>
      </c>
      <c r="E105" s="5" t="s">
        <v>280</v>
      </c>
      <c r="F105" s="2" t="s">
        <v>13</v>
      </c>
    </row>
    <row r="106">
      <c r="A106" s="1" t="s">
        <v>281</v>
      </c>
      <c r="B106" s="2">
        <v>1.200006583E9</v>
      </c>
      <c r="C106" s="3" t="s">
        <v>282</v>
      </c>
      <c r="D106" s="4">
        <v>45318.0</v>
      </c>
      <c r="E106" s="5" t="s">
        <v>283</v>
      </c>
      <c r="F106" s="2" t="s">
        <v>13</v>
      </c>
    </row>
    <row r="107">
      <c r="A107" s="1" t="s">
        <v>284</v>
      </c>
      <c r="B107" s="2">
        <v>1.250000535E9</v>
      </c>
      <c r="C107" s="3" t="s">
        <v>285</v>
      </c>
      <c r="D107" s="4">
        <v>45318.0</v>
      </c>
      <c r="E107" s="5" t="s">
        <v>286</v>
      </c>
      <c r="F107" s="2" t="s">
        <v>13</v>
      </c>
    </row>
    <row r="108">
      <c r="A108" s="1" t="s">
        <v>287</v>
      </c>
      <c r="B108" s="2">
        <v>1.250003004E9</v>
      </c>
      <c r="C108" s="3" t="s">
        <v>288</v>
      </c>
      <c r="D108" s="4">
        <v>45320.0</v>
      </c>
      <c r="E108" s="5" t="s">
        <v>289</v>
      </c>
      <c r="F108" s="2" t="s">
        <v>13</v>
      </c>
    </row>
    <row r="109">
      <c r="A109" s="1" t="s">
        <v>290</v>
      </c>
      <c r="B109" s="2">
        <v>1.200008365E9</v>
      </c>
      <c r="C109" s="3" t="s">
        <v>291</v>
      </c>
      <c r="D109" s="4">
        <v>45320.0</v>
      </c>
      <c r="E109" s="5" t="s">
        <v>292</v>
      </c>
      <c r="F109" s="2" t="s">
        <v>13</v>
      </c>
    </row>
    <row r="110">
      <c r="A110" s="1" t="s">
        <v>293</v>
      </c>
      <c r="B110" s="2">
        <v>1.250009301E9</v>
      </c>
      <c r="C110" s="3" t="s">
        <v>294</v>
      </c>
      <c r="D110" s="4">
        <v>45320.0</v>
      </c>
      <c r="E110" s="5" t="s">
        <v>296</v>
      </c>
      <c r="F110" s="2" t="s">
        <v>13</v>
      </c>
    </row>
    <row r="111">
      <c r="A111" s="1" t="s">
        <v>297</v>
      </c>
      <c r="B111" s="2">
        <v>1.250000104E9</v>
      </c>
      <c r="C111" s="3" t="s">
        <v>298</v>
      </c>
      <c r="D111" s="4">
        <v>45320.0</v>
      </c>
      <c r="E111" s="5" t="s">
        <v>299</v>
      </c>
      <c r="F111" s="2" t="s">
        <v>9</v>
      </c>
    </row>
    <row r="112">
      <c r="A112" s="1" t="s">
        <v>300</v>
      </c>
      <c r="B112" s="2">
        <v>1.200006187E9</v>
      </c>
      <c r="C112" s="3" t="s">
        <v>301</v>
      </c>
      <c r="D112" s="4">
        <v>45320.0</v>
      </c>
      <c r="E112" s="5" t="s">
        <v>302</v>
      </c>
      <c r="F112" s="2" t="s">
        <v>9</v>
      </c>
    </row>
    <row r="113">
      <c r="A113" s="1" t="s">
        <v>303</v>
      </c>
      <c r="B113" s="2">
        <v>1.250009502E9</v>
      </c>
      <c r="C113" s="3" t="s">
        <v>66</v>
      </c>
      <c r="D113" s="4">
        <v>45321.0</v>
      </c>
      <c r="E113" s="5" t="s">
        <v>304</v>
      </c>
      <c r="F113" s="2" t="s">
        <v>13</v>
      </c>
    </row>
    <row r="114">
      <c r="A114" s="1" t="s">
        <v>305</v>
      </c>
      <c r="B114" s="2">
        <v>1.200008778E9</v>
      </c>
      <c r="C114" s="3" t="s">
        <v>306</v>
      </c>
      <c r="D114" s="4">
        <v>45321.0</v>
      </c>
      <c r="E114" s="5" t="s">
        <v>307</v>
      </c>
      <c r="F114" s="2" t="s">
        <v>13</v>
      </c>
    </row>
    <row r="115">
      <c r="A115" s="1" t="s">
        <v>308</v>
      </c>
      <c r="B115" s="2">
        <v>1.250009502E9</v>
      </c>
      <c r="C115" s="3" t="s">
        <v>66</v>
      </c>
      <c r="D115" s="4">
        <v>45321.0</v>
      </c>
      <c r="E115" s="5" t="s">
        <v>309</v>
      </c>
      <c r="F115" s="2" t="s">
        <v>13</v>
      </c>
    </row>
    <row r="116">
      <c r="A116" s="1" t="s">
        <v>310</v>
      </c>
      <c r="B116" s="2">
        <v>1.250009502E9</v>
      </c>
      <c r="C116" s="3" t="s">
        <v>66</v>
      </c>
      <c r="D116" s="4">
        <v>45321.0</v>
      </c>
      <c r="E116" s="5" t="s">
        <v>311</v>
      </c>
      <c r="F116" s="2" t="s">
        <v>13</v>
      </c>
    </row>
    <row r="117">
      <c r="A117" s="1" t="s">
        <v>312</v>
      </c>
      <c r="B117" s="2">
        <v>1.250010029E9</v>
      </c>
      <c r="C117" s="3" t="s">
        <v>313</v>
      </c>
      <c r="D117" s="4">
        <v>45321.0</v>
      </c>
      <c r="E117" s="5" t="s">
        <v>314</v>
      </c>
      <c r="F117" s="2" t="s">
        <v>13</v>
      </c>
    </row>
    <row r="118">
      <c r="A118" s="1" t="s">
        <v>315</v>
      </c>
      <c r="B118" s="2">
        <v>1.25000339E9</v>
      </c>
      <c r="C118" s="3" t="s">
        <v>316</v>
      </c>
      <c r="D118" s="4">
        <v>45322.0</v>
      </c>
      <c r="E118" s="5" t="s">
        <v>317</v>
      </c>
      <c r="F118" s="2" t="s">
        <v>13</v>
      </c>
    </row>
    <row r="119">
      <c r="A119" s="1" t="s">
        <v>318</v>
      </c>
      <c r="B119" s="2">
        <v>1.250001764E9</v>
      </c>
      <c r="C119" s="3" t="s">
        <v>15</v>
      </c>
      <c r="D119" s="4">
        <v>45322.0</v>
      </c>
      <c r="E119" s="5" t="s">
        <v>319</v>
      </c>
      <c r="F119" s="2" t="s">
        <v>13</v>
      </c>
    </row>
    <row r="120">
      <c r="A120" s="1" t="s">
        <v>320</v>
      </c>
      <c r="B120" s="2">
        <v>1.250010303E9</v>
      </c>
      <c r="C120" s="3" t="s">
        <v>321</v>
      </c>
      <c r="D120" s="4">
        <v>45322.0</v>
      </c>
      <c r="E120" s="5" t="s">
        <v>322</v>
      </c>
      <c r="F120" s="2" t="s">
        <v>13</v>
      </c>
    </row>
    <row r="121">
      <c r="A121" s="1" t="s">
        <v>323</v>
      </c>
      <c r="B121" s="2">
        <v>1.25000178E9</v>
      </c>
      <c r="C121" s="3" t="s">
        <v>160</v>
      </c>
      <c r="D121" s="4">
        <v>45323.0</v>
      </c>
      <c r="E121" s="5" t="s">
        <v>324</v>
      </c>
      <c r="F121" s="2" t="s">
        <v>13</v>
      </c>
    </row>
    <row r="122">
      <c r="A122" s="1" t="s">
        <v>325</v>
      </c>
      <c r="B122" s="2">
        <v>1.2500031E9</v>
      </c>
      <c r="C122" s="3" t="s">
        <v>326</v>
      </c>
      <c r="D122" s="4">
        <v>45323.0</v>
      </c>
      <c r="E122" s="5" t="s">
        <v>327</v>
      </c>
      <c r="F122" s="2" t="s">
        <v>13</v>
      </c>
    </row>
    <row r="123">
      <c r="A123" s="1" t="s">
        <v>328</v>
      </c>
      <c r="B123" s="2">
        <v>1.25000178E9</v>
      </c>
      <c r="C123" s="3" t="s">
        <v>160</v>
      </c>
      <c r="D123" s="4">
        <v>45323.0</v>
      </c>
      <c r="E123" s="5" t="s">
        <v>329</v>
      </c>
      <c r="F123" s="2" t="s">
        <v>13</v>
      </c>
    </row>
    <row r="124">
      <c r="A124" s="1" t="s">
        <v>330</v>
      </c>
      <c r="B124" s="2">
        <v>1.250009892E9</v>
      </c>
      <c r="C124" s="3" t="s">
        <v>93</v>
      </c>
      <c r="D124" s="4">
        <v>45323.0</v>
      </c>
      <c r="E124" s="5" t="s">
        <v>331</v>
      </c>
      <c r="F124" s="2" t="s">
        <v>13</v>
      </c>
    </row>
    <row r="125">
      <c r="A125" s="1" t="s">
        <v>332</v>
      </c>
      <c r="B125" s="2">
        <v>1.250001755E9</v>
      </c>
      <c r="C125" s="3" t="s">
        <v>333</v>
      </c>
      <c r="D125" s="4">
        <v>45323.0</v>
      </c>
      <c r="E125" s="5" t="s">
        <v>334</v>
      </c>
      <c r="F125" s="2" t="s">
        <v>13</v>
      </c>
    </row>
    <row r="126">
      <c r="A126" s="1" t="s">
        <v>335</v>
      </c>
      <c r="B126" s="2">
        <v>1.250004611E9</v>
      </c>
      <c r="C126" s="3" t="s">
        <v>336</v>
      </c>
      <c r="D126" s="4">
        <v>45323.0</v>
      </c>
      <c r="E126" s="5" t="s">
        <v>302</v>
      </c>
      <c r="F126" s="2" t="s">
        <v>9</v>
      </c>
    </row>
    <row r="127">
      <c r="A127" s="1" t="s">
        <v>337</v>
      </c>
      <c r="B127" s="2">
        <v>1.250000094E9</v>
      </c>
      <c r="C127" s="3" t="s">
        <v>338</v>
      </c>
      <c r="D127" s="4">
        <v>45324.0</v>
      </c>
      <c r="E127" s="5" t="s">
        <v>339</v>
      </c>
      <c r="F127" s="2" t="s">
        <v>9</v>
      </c>
    </row>
    <row r="128">
      <c r="A128" s="1" t="s">
        <v>340</v>
      </c>
      <c r="B128" s="2">
        <v>1.250001764E9</v>
      </c>
      <c r="C128" s="3" t="s">
        <v>15</v>
      </c>
      <c r="D128" s="4">
        <v>45324.0</v>
      </c>
      <c r="E128" s="5" t="s">
        <v>253</v>
      </c>
      <c r="F128" s="2" t="s">
        <v>13</v>
      </c>
    </row>
    <row r="129">
      <c r="A129" s="1" t="s">
        <v>341</v>
      </c>
      <c r="B129" s="2">
        <v>1.25000326E9</v>
      </c>
      <c r="C129" s="3" t="s">
        <v>342</v>
      </c>
      <c r="D129" s="4">
        <v>45324.0</v>
      </c>
      <c r="E129" s="5" t="s">
        <v>343</v>
      </c>
      <c r="F129" s="2" t="s">
        <v>13</v>
      </c>
    </row>
    <row r="130">
      <c r="A130" s="1" t="s">
        <v>344</v>
      </c>
      <c r="B130" s="2">
        <v>1.250004201E9</v>
      </c>
      <c r="C130" s="3" t="s">
        <v>345</v>
      </c>
      <c r="D130" s="4">
        <v>45324.0</v>
      </c>
      <c r="E130" s="5" t="s">
        <v>346</v>
      </c>
      <c r="F130" s="2" t="s">
        <v>9</v>
      </c>
    </row>
    <row r="131">
      <c r="A131" s="1" t="s">
        <v>347</v>
      </c>
      <c r="B131" s="2">
        <v>1.250000174E9</v>
      </c>
      <c r="C131" s="3" t="s">
        <v>348</v>
      </c>
      <c r="D131" s="4">
        <v>45325.0</v>
      </c>
      <c r="E131" s="5" t="s">
        <v>349</v>
      </c>
      <c r="F131" s="2" t="s">
        <v>13</v>
      </c>
    </row>
    <row r="132">
      <c r="A132" s="1" t="s">
        <v>350</v>
      </c>
      <c r="B132" s="2">
        <v>1.250001764E9</v>
      </c>
      <c r="C132" s="3" t="s">
        <v>15</v>
      </c>
      <c r="D132" s="4">
        <v>45325.0</v>
      </c>
      <c r="E132" s="5" t="s">
        <v>351</v>
      </c>
      <c r="F132" s="2" t="s">
        <v>13</v>
      </c>
    </row>
    <row r="133">
      <c r="A133" s="1" t="s">
        <v>352</v>
      </c>
      <c r="B133" s="2">
        <v>1.200007752E9</v>
      </c>
      <c r="C133" s="3" t="s">
        <v>181</v>
      </c>
      <c r="D133" s="4">
        <v>45325.0</v>
      </c>
      <c r="E133" s="5" t="s">
        <v>353</v>
      </c>
      <c r="F133" s="2" t="s">
        <v>13</v>
      </c>
    </row>
    <row r="134">
      <c r="A134" s="1" t="s">
        <v>354</v>
      </c>
      <c r="B134" s="2">
        <v>1.250001741E9</v>
      </c>
      <c r="C134" s="3" t="s">
        <v>52</v>
      </c>
      <c r="D134" s="4">
        <v>45327.0</v>
      </c>
      <c r="E134" s="5" t="s">
        <v>355</v>
      </c>
      <c r="F134" s="2" t="s">
        <v>9</v>
      </c>
    </row>
    <row r="135">
      <c r="A135" s="1" t="s">
        <v>356</v>
      </c>
      <c r="B135" s="2">
        <v>1.250002059E9</v>
      </c>
      <c r="C135" s="3" t="s">
        <v>148</v>
      </c>
      <c r="D135" s="4">
        <v>45327.0</v>
      </c>
      <c r="E135" s="5" t="s">
        <v>357</v>
      </c>
      <c r="F135" s="2" t="s">
        <v>13</v>
      </c>
    </row>
    <row r="136">
      <c r="A136" s="1" t="s">
        <v>358</v>
      </c>
      <c r="B136" s="2">
        <v>1.250002839E9</v>
      </c>
      <c r="C136" s="3" t="s">
        <v>359</v>
      </c>
      <c r="D136" s="4">
        <v>45327.0</v>
      </c>
      <c r="E136" s="5" t="s">
        <v>360</v>
      </c>
      <c r="F136" s="2" t="s">
        <v>9</v>
      </c>
    </row>
    <row r="137">
      <c r="A137" s="1" t="s">
        <v>361</v>
      </c>
      <c r="B137" s="2">
        <v>1.250010137E9</v>
      </c>
      <c r="C137" s="3" t="s">
        <v>362</v>
      </c>
      <c r="D137" s="4">
        <v>45327.0</v>
      </c>
      <c r="E137" s="5" t="s">
        <v>363</v>
      </c>
      <c r="F137" s="2" t="s">
        <v>13</v>
      </c>
    </row>
    <row r="138">
      <c r="A138" s="1" t="s">
        <v>364</v>
      </c>
      <c r="B138" s="2">
        <v>1.250002839E9</v>
      </c>
      <c r="C138" s="3" t="s">
        <v>359</v>
      </c>
      <c r="D138" s="4">
        <v>45327.0</v>
      </c>
      <c r="E138" s="5" t="s">
        <v>365</v>
      </c>
      <c r="F138" s="2" t="s">
        <v>9</v>
      </c>
    </row>
    <row r="139">
      <c r="A139" s="1" t="s">
        <v>366</v>
      </c>
      <c r="B139" s="2">
        <v>1.200009067E9</v>
      </c>
      <c r="C139" s="3" t="s">
        <v>46</v>
      </c>
      <c r="D139" s="4">
        <v>45327.0</v>
      </c>
      <c r="E139" s="5" t="s">
        <v>367</v>
      </c>
      <c r="F139" s="2" t="s">
        <v>13</v>
      </c>
    </row>
    <row r="140">
      <c r="A140" s="1" t="s">
        <v>368</v>
      </c>
      <c r="B140" s="2">
        <v>1.250002839E9</v>
      </c>
      <c r="C140" s="3" t="s">
        <v>359</v>
      </c>
      <c r="D140" s="4">
        <v>45327.0</v>
      </c>
      <c r="E140" s="5" t="s">
        <v>369</v>
      </c>
      <c r="F140" s="2" t="s">
        <v>9</v>
      </c>
    </row>
    <row r="141">
      <c r="A141" s="1" t="s">
        <v>370</v>
      </c>
      <c r="B141" s="2">
        <v>1.250002839E9</v>
      </c>
      <c r="C141" s="3" t="s">
        <v>359</v>
      </c>
      <c r="D141" s="4">
        <v>45327.0</v>
      </c>
      <c r="E141" s="5" t="s">
        <v>371</v>
      </c>
      <c r="F141" s="2" t="s">
        <v>9</v>
      </c>
    </row>
    <row r="142">
      <c r="A142" s="1" t="s">
        <v>372</v>
      </c>
      <c r="B142" s="2">
        <v>1.250002839E9</v>
      </c>
      <c r="C142" s="3" t="s">
        <v>359</v>
      </c>
      <c r="D142" s="4">
        <v>45327.0</v>
      </c>
      <c r="E142" s="5" t="s">
        <v>373</v>
      </c>
      <c r="F142" s="2" t="s">
        <v>9</v>
      </c>
    </row>
    <row r="143">
      <c r="A143" s="1" t="s">
        <v>374</v>
      </c>
      <c r="B143" s="2">
        <v>1.250002839E9</v>
      </c>
      <c r="C143" s="3" t="s">
        <v>359</v>
      </c>
      <c r="D143" s="4">
        <v>45327.0</v>
      </c>
      <c r="E143" s="5" t="s">
        <v>375</v>
      </c>
      <c r="F143" s="2" t="s">
        <v>9</v>
      </c>
    </row>
    <row r="144">
      <c r="A144" s="1" t="s">
        <v>376</v>
      </c>
      <c r="B144" s="2">
        <v>1.250009305E9</v>
      </c>
      <c r="C144" s="3" t="s">
        <v>377</v>
      </c>
      <c r="D144" s="4">
        <v>45327.0</v>
      </c>
      <c r="E144" s="5" t="s">
        <v>378</v>
      </c>
      <c r="F144" s="2" t="s">
        <v>13</v>
      </c>
    </row>
    <row r="145">
      <c r="A145" s="1" t="s">
        <v>379</v>
      </c>
      <c r="B145" s="2">
        <v>1.250002839E9</v>
      </c>
      <c r="C145" s="3" t="s">
        <v>359</v>
      </c>
      <c r="D145" s="4">
        <v>45327.0</v>
      </c>
      <c r="E145" s="5" t="s">
        <v>380</v>
      </c>
      <c r="F145" s="2" t="s">
        <v>9</v>
      </c>
    </row>
    <row r="146">
      <c r="A146" s="1" t="s">
        <v>381</v>
      </c>
      <c r="B146" s="2">
        <v>1.250002839E9</v>
      </c>
      <c r="C146" s="3" t="s">
        <v>359</v>
      </c>
      <c r="D146" s="4">
        <v>45327.0</v>
      </c>
      <c r="E146" s="5" t="s">
        <v>382</v>
      </c>
      <c r="F146" s="2" t="s">
        <v>9</v>
      </c>
    </row>
    <row r="147">
      <c r="A147" s="1" t="s">
        <v>383</v>
      </c>
      <c r="B147" s="2">
        <v>1.250002839E9</v>
      </c>
      <c r="C147" s="3" t="s">
        <v>359</v>
      </c>
      <c r="D147" s="4">
        <v>45327.0</v>
      </c>
      <c r="E147" s="5" t="s">
        <v>384</v>
      </c>
      <c r="F147" s="2" t="s">
        <v>9</v>
      </c>
    </row>
    <row r="148">
      <c r="A148" s="1" t="s">
        <v>385</v>
      </c>
      <c r="B148" s="2">
        <v>1.250002839E9</v>
      </c>
      <c r="C148" s="3" t="s">
        <v>359</v>
      </c>
      <c r="D148" s="4">
        <v>45327.0</v>
      </c>
      <c r="E148" s="5" t="s">
        <v>386</v>
      </c>
      <c r="F148" s="2" t="s">
        <v>9</v>
      </c>
    </row>
    <row r="149">
      <c r="A149" s="1" t="s">
        <v>387</v>
      </c>
      <c r="B149" s="2">
        <v>1.250002839E9</v>
      </c>
      <c r="C149" s="3" t="s">
        <v>359</v>
      </c>
      <c r="D149" s="4">
        <v>45327.0</v>
      </c>
      <c r="E149" s="5" t="s">
        <v>388</v>
      </c>
      <c r="F149" s="2" t="s">
        <v>9</v>
      </c>
    </row>
    <row r="150">
      <c r="A150" s="1" t="s">
        <v>389</v>
      </c>
      <c r="B150" s="2">
        <v>1.250002839E9</v>
      </c>
      <c r="C150" s="3" t="s">
        <v>359</v>
      </c>
      <c r="D150" s="4">
        <v>45327.0</v>
      </c>
      <c r="E150" s="5" t="s">
        <v>390</v>
      </c>
      <c r="F150" s="2" t="s">
        <v>9</v>
      </c>
    </row>
    <row r="151">
      <c r="A151" s="1" t="s">
        <v>391</v>
      </c>
      <c r="B151" s="2">
        <v>1.250002839E9</v>
      </c>
      <c r="C151" s="3" t="s">
        <v>359</v>
      </c>
      <c r="D151" s="4">
        <v>45327.0</v>
      </c>
      <c r="E151" s="5" t="s">
        <v>392</v>
      </c>
      <c r="F151" s="2" t="s">
        <v>9</v>
      </c>
    </row>
    <row r="152">
      <c r="A152" s="1" t="s">
        <v>393</v>
      </c>
      <c r="B152" s="2">
        <v>1.250002839E9</v>
      </c>
      <c r="C152" s="3" t="s">
        <v>359</v>
      </c>
      <c r="D152" s="4">
        <v>45327.0</v>
      </c>
      <c r="E152" s="5" t="s">
        <v>394</v>
      </c>
      <c r="F152" s="2" t="s">
        <v>9</v>
      </c>
    </row>
    <row r="153">
      <c r="A153" s="1" t="s">
        <v>395</v>
      </c>
      <c r="B153" s="2">
        <v>1.250001513E9</v>
      </c>
      <c r="C153" s="3" t="s">
        <v>396</v>
      </c>
      <c r="D153" s="4">
        <v>45327.0</v>
      </c>
      <c r="E153" s="5" t="s">
        <v>397</v>
      </c>
      <c r="F153" s="2" t="s">
        <v>9</v>
      </c>
    </row>
    <row r="154">
      <c r="A154" s="1" t="s">
        <v>398</v>
      </c>
      <c r="B154" s="2">
        <v>1.250002839E9</v>
      </c>
      <c r="C154" s="3" t="s">
        <v>359</v>
      </c>
      <c r="D154" s="4">
        <v>45327.0</v>
      </c>
      <c r="E154" s="5" t="s">
        <v>399</v>
      </c>
      <c r="F154" s="2" t="s">
        <v>9</v>
      </c>
    </row>
    <row r="155">
      <c r="A155" s="1" t="s">
        <v>400</v>
      </c>
      <c r="B155" s="2">
        <v>1.250002839E9</v>
      </c>
      <c r="C155" s="3" t="s">
        <v>359</v>
      </c>
      <c r="D155" s="4">
        <v>45328.0</v>
      </c>
      <c r="E155" s="5" t="s">
        <v>401</v>
      </c>
      <c r="F155" s="2" t="s">
        <v>9</v>
      </c>
    </row>
    <row r="156">
      <c r="A156" s="1" t="s">
        <v>402</v>
      </c>
      <c r="B156" s="2">
        <v>1.250009984E9</v>
      </c>
      <c r="C156" s="3" t="s">
        <v>403</v>
      </c>
      <c r="D156" s="4">
        <v>45328.0</v>
      </c>
      <c r="E156" s="5" t="s">
        <v>404</v>
      </c>
      <c r="F156" s="2" t="s">
        <v>13</v>
      </c>
    </row>
    <row r="157">
      <c r="A157" s="1" t="s">
        <v>405</v>
      </c>
      <c r="B157" s="2">
        <v>1.25001033E9</v>
      </c>
      <c r="C157" s="3" t="s">
        <v>406</v>
      </c>
      <c r="D157" s="4">
        <v>45328.0</v>
      </c>
      <c r="E157" s="5" t="s">
        <v>407</v>
      </c>
      <c r="F157" s="2" t="s">
        <v>13</v>
      </c>
    </row>
    <row r="158">
      <c r="A158" s="1" t="s">
        <v>408</v>
      </c>
      <c r="B158" s="2">
        <v>1.250002839E9</v>
      </c>
      <c r="C158" s="3" t="s">
        <v>359</v>
      </c>
      <c r="D158" s="4">
        <v>45328.0</v>
      </c>
      <c r="E158" s="5" t="s">
        <v>409</v>
      </c>
      <c r="F158" s="2" t="s">
        <v>9</v>
      </c>
    </row>
    <row r="159">
      <c r="A159" s="1" t="s">
        <v>410</v>
      </c>
      <c r="B159" s="2">
        <v>1.250000191E9</v>
      </c>
      <c r="C159" s="3" t="s">
        <v>411</v>
      </c>
      <c r="D159" s="4">
        <v>45328.0</v>
      </c>
      <c r="E159" s="5" t="s">
        <v>412</v>
      </c>
      <c r="F159" s="2" t="s">
        <v>9</v>
      </c>
    </row>
    <row r="160">
      <c r="A160" s="1" t="s">
        <v>413</v>
      </c>
      <c r="B160" s="2">
        <v>1.250002839E9</v>
      </c>
      <c r="C160" s="3" t="s">
        <v>359</v>
      </c>
      <c r="D160" s="4">
        <v>45328.0</v>
      </c>
      <c r="E160" s="5" t="s">
        <v>414</v>
      </c>
      <c r="F160" s="2" t="s">
        <v>9</v>
      </c>
    </row>
    <row r="161">
      <c r="A161" s="1" t="s">
        <v>415</v>
      </c>
      <c r="B161" s="2">
        <v>1.250002839E9</v>
      </c>
      <c r="C161" s="3" t="s">
        <v>359</v>
      </c>
      <c r="D161" s="4">
        <v>45328.0</v>
      </c>
      <c r="E161" s="5" t="s">
        <v>416</v>
      </c>
      <c r="F161" s="2" t="s">
        <v>9</v>
      </c>
    </row>
    <row r="162">
      <c r="A162" s="1" t="s">
        <v>417</v>
      </c>
      <c r="B162" s="2">
        <v>1.250000505E9</v>
      </c>
      <c r="C162" s="3" t="s">
        <v>11</v>
      </c>
      <c r="D162" s="4">
        <v>45329.0</v>
      </c>
      <c r="E162" s="5" t="s">
        <v>418</v>
      </c>
      <c r="F162" s="2" t="s">
        <v>13</v>
      </c>
    </row>
    <row r="163">
      <c r="A163" s="1" t="s">
        <v>419</v>
      </c>
      <c r="B163" s="2">
        <v>1.200007409E9</v>
      </c>
      <c r="C163" s="3" t="s">
        <v>128</v>
      </c>
      <c r="D163" s="4">
        <v>45329.0</v>
      </c>
      <c r="E163" s="5" t="s">
        <v>420</v>
      </c>
      <c r="F163" s="2" t="s">
        <v>13</v>
      </c>
    </row>
    <row r="164">
      <c r="A164" s="1" t="s">
        <v>421</v>
      </c>
      <c r="B164" s="2">
        <v>1.250003924E9</v>
      </c>
      <c r="C164" s="3" t="s">
        <v>422</v>
      </c>
      <c r="D164" s="4">
        <v>45329.0</v>
      </c>
      <c r="E164" s="5" t="s">
        <v>423</v>
      </c>
      <c r="F164" s="2" t="s">
        <v>13</v>
      </c>
    </row>
    <row r="165">
      <c r="A165" s="1" t="s">
        <v>425</v>
      </c>
      <c r="B165" s="2">
        <v>1.250001764E9</v>
      </c>
      <c r="C165" s="3" t="s">
        <v>15</v>
      </c>
      <c r="D165" s="4">
        <v>45330.0</v>
      </c>
      <c r="E165" s="5" t="s">
        <v>35</v>
      </c>
      <c r="F165" s="2" t="s">
        <v>13</v>
      </c>
    </row>
    <row r="166">
      <c r="A166" s="1" t="s">
        <v>426</v>
      </c>
      <c r="B166" s="2">
        <v>1.250001764E9</v>
      </c>
      <c r="C166" s="3" t="s">
        <v>15</v>
      </c>
      <c r="D166" s="4">
        <v>45330.0</v>
      </c>
      <c r="E166" s="5" t="s">
        <v>427</v>
      </c>
      <c r="F166" s="2" t="s">
        <v>13</v>
      </c>
    </row>
    <row r="167">
      <c r="A167" s="1" t="s">
        <v>428</v>
      </c>
      <c r="B167" s="2">
        <v>1.250000438E9</v>
      </c>
      <c r="C167" s="3" t="s">
        <v>119</v>
      </c>
      <c r="D167" s="4">
        <v>45330.0</v>
      </c>
      <c r="E167" s="5" t="s">
        <v>429</v>
      </c>
      <c r="F167" s="2" t="s">
        <v>9</v>
      </c>
    </row>
    <row r="168">
      <c r="A168" s="1" t="s">
        <v>430</v>
      </c>
      <c r="B168" s="2">
        <v>1.250001319E9</v>
      </c>
      <c r="C168" s="3" t="s">
        <v>145</v>
      </c>
      <c r="D168" s="4">
        <v>45330.0</v>
      </c>
      <c r="E168" s="5" t="s">
        <v>431</v>
      </c>
      <c r="F168" s="2" t="s">
        <v>13</v>
      </c>
    </row>
    <row r="169">
      <c r="A169" s="1" t="s">
        <v>432</v>
      </c>
      <c r="B169" s="2">
        <v>1.250001192E9</v>
      </c>
      <c r="C169" s="3" t="s">
        <v>433</v>
      </c>
      <c r="D169" s="4">
        <v>45330.0</v>
      </c>
      <c r="E169" s="5" t="s">
        <v>434</v>
      </c>
      <c r="F169" s="2" t="s">
        <v>9</v>
      </c>
    </row>
    <row r="170">
      <c r="A170" s="1" t="s">
        <v>435</v>
      </c>
      <c r="B170" s="2">
        <v>1.250001434E9</v>
      </c>
      <c r="C170" s="3" t="s">
        <v>276</v>
      </c>
      <c r="D170" s="4">
        <v>45330.0</v>
      </c>
      <c r="E170" s="5" t="s">
        <v>436</v>
      </c>
      <c r="F170" s="2" t="s">
        <v>9</v>
      </c>
    </row>
    <row r="171">
      <c r="A171" s="1" t="s">
        <v>437</v>
      </c>
      <c r="B171" s="2">
        <v>1.250000103E9</v>
      </c>
      <c r="C171" s="3" t="s">
        <v>438</v>
      </c>
      <c r="D171" s="4">
        <v>45330.0</v>
      </c>
      <c r="E171" s="5" t="s">
        <v>439</v>
      </c>
      <c r="F171" s="2" t="s">
        <v>9</v>
      </c>
    </row>
    <row r="172">
      <c r="A172" s="1" t="s">
        <v>440</v>
      </c>
      <c r="B172" s="2">
        <v>1.250001513E9</v>
      </c>
      <c r="C172" s="3" t="s">
        <v>396</v>
      </c>
      <c r="D172" s="4">
        <v>45331.0</v>
      </c>
      <c r="E172" s="5" t="s">
        <v>441</v>
      </c>
      <c r="F172" s="2" t="s">
        <v>9</v>
      </c>
    </row>
    <row r="173">
      <c r="A173" s="1" t="s">
        <v>442</v>
      </c>
      <c r="B173" s="2">
        <v>1.25000248E9</v>
      </c>
      <c r="C173" s="3" t="s">
        <v>443</v>
      </c>
      <c r="D173" s="4">
        <v>45331.0</v>
      </c>
      <c r="E173" s="5" t="s">
        <v>444</v>
      </c>
      <c r="F173" s="2" t="s">
        <v>13</v>
      </c>
    </row>
    <row r="174">
      <c r="A174" s="1" t="s">
        <v>445</v>
      </c>
      <c r="B174" s="2">
        <v>1.250002839E9</v>
      </c>
      <c r="C174" s="3" t="s">
        <v>359</v>
      </c>
      <c r="D174" s="4">
        <v>45331.0</v>
      </c>
      <c r="E174" s="5" t="s">
        <v>446</v>
      </c>
      <c r="F174" s="2" t="s">
        <v>9</v>
      </c>
    </row>
    <row r="175">
      <c r="A175" s="1" t="s">
        <v>447</v>
      </c>
      <c r="B175" s="2">
        <v>1.250002839E9</v>
      </c>
      <c r="C175" s="3" t="s">
        <v>359</v>
      </c>
      <c r="D175" s="4">
        <v>45331.0</v>
      </c>
      <c r="E175" s="5" t="s">
        <v>448</v>
      </c>
      <c r="F175" s="2" t="s">
        <v>9</v>
      </c>
    </row>
    <row r="176">
      <c r="A176" s="1" t="s">
        <v>449</v>
      </c>
      <c r="B176" s="2">
        <v>1.250009892E9</v>
      </c>
      <c r="C176" s="3" t="s">
        <v>93</v>
      </c>
      <c r="D176" s="4">
        <v>45334.0</v>
      </c>
      <c r="E176" s="5" t="s">
        <v>450</v>
      </c>
      <c r="F176" s="2" t="s">
        <v>13</v>
      </c>
    </row>
    <row r="177">
      <c r="A177" s="1" t="s">
        <v>451</v>
      </c>
      <c r="B177" s="2">
        <v>1.250009745E9</v>
      </c>
      <c r="C177" s="3" t="s">
        <v>84</v>
      </c>
      <c r="D177" s="4">
        <v>45334.0</v>
      </c>
      <c r="E177" s="5" t="s">
        <v>452</v>
      </c>
      <c r="F177" s="2" t="s">
        <v>13</v>
      </c>
    </row>
    <row r="178">
      <c r="A178" s="1" t="s">
        <v>453</v>
      </c>
      <c r="B178" s="2">
        <v>1.200008893E9</v>
      </c>
      <c r="C178" s="3" t="s">
        <v>454</v>
      </c>
      <c r="D178" s="4">
        <v>45334.0</v>
      </c>
      <c r="E178" s="5" t="s">
        <v>455</v>
      </c>
      <c r="F178" s="2" t="s">
        <v>13</v>
      </c>
    </row>
    <row r="179">
      <c r="A179" s="1" t="s">
        <v>456</v>
      </c>
      <c r="B179" s="2">
        <v>1.250009892E9</v>
      </c>
      <c r="C179" s="3" t="s">
        <v>93</v>
      </c>
      <c r="D179" s="4">
        <v>45334.0</v>
      </c>
      <c r="E179" s="5" t="s">
        <v>457</v>
      </c>
      <c r="F179" s="2" t="s">
        <v>13</v>
      </c>
    </row>
    <row r="180">
      <c r="A180" s="1" t="s">
        <v>458</v>
      </c>
      <c r="B180" s="2">
        <v>1.250009892E9</v>
      </c>
      <c r="C180" s="3" t="s">
        <v>93</v>
      </c>
      <c r="D180" s="4">
        <v>45334.0</v>
      </c>
      <c r="E180" s="5" t="s">
        <v>459</v>
      </c>
      <c r="F180" s="2" t="s">
        <v>13</v>
      </c>
    </row>
    <row r="181">
      <c r="A181" s="1" t="s">
        <v>460</v>
      </c>
      <c r="B181" s="2">
        <v>1.200008893E9</v>
      </c>
      <c r="C181" s="3" t="s">
        <v>454</v>
      </c>
      <c r="D181" s="4">
        <v>45334.0</v>
      </c>
      <c r="E181" s="5" t="s">
        <v>461</v>
      </c>
      <c r="F181" s="2" t="s">
        <v>13</v>
      </c>
    </row>
    <row r="182">
      <c r="A182" s="1" t="s">
        <v>462</v>
      </c>
      <c r="B182" s="2">
        <v>1.200007456E9</v>
      </c>
      <c r="C182" s="3" t="s">
        <v>463</v>
      </c>
      <c r="D182" s="4">
        <v>45334.0</v>
      </c>
      <c r="E182" s="5" t="s">
        <v>464</v>
      </c>
      <c r="F182" s="2" t="s">
        <v>9</v>
      </c>
    </row>
    <row r="183">
      <c r="A183" s="1" t="s">
        <v>465</v>
      </c>
      <c r="B183" s="2">
        <v>1.2000083E9</v>
      </c>
      <c r="C183" s="3" t="s">
        <v>466</v>
      </c>
      <c r="D183" s="4">
        <v>45335.0</v>
      </c>
      <c r="E183" s="5" t="s">
        <v>467</v>
      </c>
      <c r="F183" s="2" t="s">
        <v>13</v>
      </c>
    </row>
    <row r="184">
      <c r="A184" s="1" t="s">
        <v>468</v>
      </c>
      <c r="B184" s="2">
        <v>1.2000083E9</v>
      </c>
      <c r="C184" s="3" t="s">
        <v>466</v>
      </c>
      <c r="D184" s="4">
        <v>45335.0</v>
      </c>
      <c r="E184" s="5" t="s">
        <v>469</v>
      </c>
      <c r="F184" s="2" t="s">
        <v>13</v>
      </c>
    </row>
    <row r="185">
      <c r="A185" s="1" t="s">
        <v>470</v>
      </c>
      <c r="B185" s="2">
        <v>1.250000077E9</v>
      </c>
      <c r="C185" s="3" t="s">
        <v>471</v>
      </c>
      <c r="D185" s="4">
        <v>45335.0</v>
      </c>
      <c r="E185" s="5" t="s">
        <v>472</v>
      </c>
      <c r="F185" s="2" t="s">
        <v>9</v>
      </c>
    </row>
    <row r="186">
      <c r="A186" s="1" t="s">
        <v>473</v>
      </c>
      <c r="B186" s="2">
        <v>1.250000288E9</v>
      </c>
      <c r="C186" s="3" t="s">
        <v>474</v>
      </c>
      <c r="D186" s="4">
        <v>45335.0</v>
      </c>
      <c r="E186" s="5" t="s">
        <v>475</v>
      </c>
      <c r="F186" s="2" t="s">
        <v>13</v>
      </c>
    </row>
    <row r="187">
      <c r="A187" s="1" t="s">
        <v>476</v>
      </c>
      <c r="B187" s="2">
        <v>1.250000288E9</v>
      </c>
      <c r="C187" s="3" t="s">
        <v>474</v>
      </c>
      <c r="D187" s="4">
        <v>45335.0</v>
      </c>
      <c r="E187" s="5" t="s">
        <v>477</v>
      </c>
      <c r="F187" s="2" t="s">
        <v>13</v>
      </c>
    </row>
    <row r="188">
      <c r="A188" s="1" t="s">
        <v>478</v>
      </c>
      <c r="B188" s="2">
        <v>1.250001499E9</v>
      </c>
      <c r="C188" s="3" t="s">
        <v>479</v>
      </c>
      <c r="D188" s="4">
        <v>45335.0</v>
      </c>
      <c r="E188" s="5" t="s">
        <v>480</v>
      </c>
      <c r="F188" s="2" t="s">
        <v>13</v>
      </c>
    </row>
    <row r="189">
      <c r="A189" s="1" t="s">
        <v>481</v>
      </c>
      <c r="B189" s="2">
        <v>1.250010373E9</v>
      </c>
      <c r="C189" s="3" t="s">
        <v>482</v>
      </c>
      <c r="D189" s="4">
        <v>45335.0</v>
      </c>
      <c r="E189" s="5" t="s">
        <v>483</v>
      </c>
      <c r="F189" s="2" t="s">
        <v>9</v>
      </c>
    </row>
    <row r="190">
      <c r="A190" s="1" t="s">
        <v>484</v>
      </c>
      <c r="B190" s="2">
        <v>1.250000742E9</v>
      </c>
      <c r="C190" s="3" t="s">
        <v>485</v>
      </c>
      <c r="D190" s="4">
        <v>45335.0</v>
      </c>
      <c r="E190" s="5" t="s">
        <v>486</v>
      </c>
      <c r="F190" s="2" t="s">
        <v>13</v>
      </c>
    </row>
    <row r="191">
      <c r="A191" s="1" t="s">
        <v>487</v>
      </c>
      <c r="B191" s="2">
        <v>1.25000167E9</v>
      </c>
      <c r="C191" s="3" t="s">
        <v>488</v>
      </c>
      <c r="D191" s="4">
        <v>45335.0</v>
      </c>
      <c r="E191" s="5" t="s">
        <v>489</v>
      </c>
      <c r="F191" s="2" t="s">
        <v>13</v>
      </c>
    </row>
    <row r="192">
      <c r="A192" s="1" t="s">
        <v>490</v>
      </c>
      <c r="B192" s="2">
        <v>1.2000083E9</v>
      </c>
      <c r="C192" s="3" t="s">
        <v>466</v>
      </c>
      <c r="D192" s="4">
        <v>45336.0</v>
      </c>
      <c r="E192" s="5" t="s">
        <v>491</v>
      </c>
      <c r="F192" s="2" t="s">
        <v>13</v>
      </c>
    </row>
    <row r="193">
      <c r="A193" s="1" t="s">
        <v>492</v>
      </c>
      <c r="B193" s="2">
        <v>1.250001764E9</v>
      </c>
      <c r="C193" s="3" t="s">
        <v>15</v>
      </c>
      <c r="D193" s="4">
        <v>45336.0</v>
      </c>
      <c r="E193" s="5" t="s">
        <v>493</v>
      </c>
      <c r="F193" s="2" t="s">
        <v>13</v>
      </c>
    </row>
    <row r="194">
      <c r="A194" s="1" t="s">
        <v>494</v>
      </c>
      <c r="B194" s="2">
        <v>1.250004426E9</v>
      </c>
      <c r="C194" s="3" t="s">
        <v>495</v>
      </c>
      <c r="D194" s="4">
        <v>45336.0</v>
      </c>
      <c r="E194" s="5" t="s">
        <v>496</v>
      </c>
      <c r="F194" s="2" t="s">
        <v>13</v>
      </c>
    </row>
    <row r="195">
      <c r="A195" s="1" t="s">
        <v>497</v>
      </c>
      <c r="B195" s="2">
        <v>1.250000452E9</v>
      </c>
      <c r="C195" s="3" t="s">
        <v>498</v>
      </c>
      <c r="D195" s="4">
        <v>45336.0</v>
      </c>
      <c r="E195" s="5" t="s">
        <v>499</v>
      </c>
      <c r="F195" s="2" t="s">
        <v>9</v>
      </c>
    </row>
    <row r="196">
      <c r="A196" s="1" t="s">
        <v>500</v>
      </c>
      <c r="B196" s="2">
        <v>1.250002755E9</v>
      </c>
      <c r="C196" s="3" t="s">
        <v>501</v>
      </c>
      <c r="D196" s="4">
        <v>45336.0</v>
      </c>
      <c r="E196" s="5" t="s">
        <v>502</v>
      </c>
      <c r="F196" s="2" t="s">
        <v>9</v>
      </c>
    </row>
    <row r="197">
      <c r="A197" s="1" t="s">
        <v>503</v>
      </c>
      <c r="B197" s="2">
        <v>1.250004426E9</v>
      </c>
      <c r="C197" s="3" t="s">
        <v>495</v>
      </c>
      <c r="D197" s="4">
        <v>45336.0</v>
      </c>
      <c r="E197" s="5" t="s">
        <v>504</v>
      </c>
      <c r="F197" s="2" t="s">
        <v>13</v>
      </c>
    </row>
    <row r="198">
      <c r="A198" s="1" t="s">
        <v>505</v>
      </c>
      <c r="B198" s="2">
        <v>1.250009928E9</v>
      </c>
      <c r="C198" s="3" t="s">
        <v>506</v>
      </c>
      <c r="D198" s="4">
        <v>45336.0</v>
      </c>
      <c r="E198" s="5" t="s">
        <v>507</v>
      </c>
      <c r="F198" s="2" t="s">
        <v>13</v>
      </c>
    </row>
    <row r="199">
      <c r="A199" s="1" t="s">
        <v>508</v>
      </c>
      <c r="B199" s="2">
        <v>1.250000913E9</v>
      </c>
      <c r="C199" s="3" t="s">
        <v>60</v>
      </c>
      <c r="D199" s="4">
        <v>45337.0</v>
      </c>
      <c r="E199" s="5" t="s">
        <v>509</v>
      </c>
      <c r="F199" s="2" t="s">
        <v>13</v>
      </c>
    </row>
    <row r="200">
      <c r="A200" s="1" t="s">
        <v>510</v>
      </c>
      <c r="B200" s="2">
        <v>1.250009745E9</v>
      </c>
      <c r="C200" s="3" t="s">
        <v>84</v>
      </c>
      <c r="D200" s="4">
        <v>45337.0</v>
      </c>
      <c r="E200" s="5" t="s">
        <v>493</v>
      </c>
      <c r="F200" s="2" t="s">
        <v>13</v>
      </c>
    </row>
    <row r="201">
      <c r="A201" s="1" t="s">
        <v>511</v>
      </c>
      <c r="B201" s="2">
        <v>1.250001273E9</v>
      </c>
      <c r="C201" s="3" t="s">
        <v>512</v>
      </c>
      <c r="D201" s="4">
        <v>45337.0</v>
      </c>
      <c r="E201" s="5" t="s">
        <v>514</v>
      </c>
      <c r="F201" s="2" t="s">
        <v>13</v>
      </c>
    </row>
    <row r="202">
      <c r="A202" s="13"/>
      <c r="B202" s="14"/>
      <c r="D202" s="15"/>
      <c r="E202" s="16"/>
      <c r="F202" s="14"/>
    </row>
    <row r="203">
      <c r="A203" s="13"/>
      <c r="B203" s="14"/>
      <c r="D203" s="15"/>
      <c r="E203" s="16"/>
      <c r="F203" s="14"/>
    </row>
    <row r="204">
      <c r="A204" s="13"/>
      <c r="B204" s="14"/>
      <c r="D204" s="15"/>
      <c r="E204" s="16"/>
      <c r="F204" s="14"/>
    </row>
    <row r="205">
      <c r="A205" s="13"/>
      <c r="B205" s="14"/>
      <c r="D205" s="15"/>
      <c r="E205" s="16"/>
      <c r="F205" s="14"/>
    </row>
    <row r="206">
      <c r="A206" s="13"/>
      <c r="B206" s="14"/>
      <c r="D206" s="15"/>
      <c r="E206" s="16"/>
      <c r="F206" s="14"/>
    </row>
    <row r="207">
      <c r="A207" s="13"/>
      <c r="B207" s="14"/>
      <c r="D207" s="15"/>
      <c r="E207" s="16"/>
      <c r="F207" s="14"/>
    </row>
    <row r="208">
      <c r="A208" s="13"/>
      <c r="B208" s="14"/>
      <c r="D208" s="15"/>
      <c r="E208" s="16"/>
      <c r="F208" s="14"/>
    </row>
    <row r="209">
      <c r="A209" s="13"/>
      <c r="B209" s="14"/>
      <c r="D209" s="15"/>
      <c r="E209" s="16"/>
      <c r="F209" s="14"/>
    </row>
    <row r="210">
      <c r="A210" s="13"/>
      <c r="B210" s="14"/>
      <c r="D210" s="15"/>
      <c r="E210" s="16"/>
      <c r="F210" s="14"/>
    </row>
    <row r="211">
      <c r="A211" s="13"/>
      <c r="B211" s="14"/>
      <c r="D211" s="15"/>
      <c r="E211" s="16"/>
      <c r="F211" s="14"/>
    </row>
    <row r="212">
      <c r="A212" s="13"/>
      <c r="B212" s="14"/>
      <c r="D212" s="15"/>
      <c r="E212" s="16"/>
      <c r="F212" s="14"/>
    </row>
    <row r="213">
      <c r="A213" s="13"/>
      <c r="B213" s="14"/>
      <c r="D213" s="15"/>
      <c r="E213" s="16"/>
      <c r="F213" s="14"/>
    </row>
    <row r="214">
      <c r="A214" s="13"/>
      <c r="B214" s="14"/>
      <c r="D214" s="15"/>
      <c r="E214" s="16"/>
      <c r="F214" s="14"/>
    </row>
    <row r="215">
      <c r="A215" s="13"/>
      <c r="B215" s="14"/>
      <c r="D215" s="15"/>
      <c r="E215" s="16"/>
      <c r="F215" s="14"/>
    </row>
    <row r="216">
      <c r="A216" s="13"/>
      <c r="B216" s="14"/>
      <c r="D216" s="15"/>
      <c r="E216" s="16"/>
      <c r="F216" s="14"/>
    </row>
    <row r="217">
      <c r="A217" s="13"/>
      <c r="B217" s="14"/>
      <c r="D217" s="15"/>
      <c r="E217" s="16"/>
      <c r="F217" s="14"/>
    </row>
    <row r="218">
      <c r="A218" s="13"/>
      <c r="B218" s="14"/>
      <c r="D218" s="15"/>
      <c r="E218" s="16"/>
      <c r="F218" s="14"/>
    </row>
    <row r="219">
      <c r="A219" s="13"/>
      <c r="B219" s="14"/>
      <c r="D219" s="15"/>
      <c r="E219" s="16"/>
      <c r="F219" s="14"/>
    </row>
    <row r="220">
      <c r="A220" s="13"/>
      <c r="B220" s="14"/>
      <c r="D220" s="15"/>
      <c r="E220" s="16"/>
      <c r="F220" s="14"/>
    </row>
    <row r="221">
      <c r="A221" s="13"/>
      <c r="B221" s="14"/>
      <c r="D221" s="15"/>
      <c r="E221" s="16"/>
      <c r="F221" s="14"/>
    </row>
    <row r="222">
      <c r="A222" s="13"/>
      <c r="B222" s="14"/>
      <c r="D222" s="15"/>
      <c r="E222" s="16"/>
      <c r="F222" s="14"/>
    </row>
    <row r="223">
      <c r="A223" s="13"/>
      <c r="B223" s="14"/>
      <c r="D223" s="15"/>
      <c r="E223" s="16"/>
      <c r="F223" s="14"/>
    </row>
    <row r="224">
      <c r="A224" s="13"/>
      <c r="B224" s="14"/>
      <c r="D224" s="15"/>
      <c r="E224" s="16"/>
      <c r="F224" s="14"/>
    </row>
    <row r="225">
      <c r="A225" s="13"/>
      <c r="B225" s="14"/>
      <c r="D225" s="15"/>
      <c r="E225" s="16"/>
      <c r="F225" s="14"/>
    </row>
    <row r="226">
      <c r="A226" s="13"/>
      <c r="B226" s="14"/>
      <c r="D226" s="15"/>
      <c r="E226" s="16"/>
      <c r="F226" s="14"/>
    </row>
    <row r="227">
      <c r="A227" s="13"/>
      <c r="B227" s="14"/>
      <c r="D227" s="15"/>
      <c r="E227" s="16"/>
      <c r="F227" s="14"/>
    </row>
    <row r="228">
      <c r="A228" s="13"/>
      <c r="B228" s="14"/>
      <c r="D228" s="15"/>
      <c r="E228" s="16"/>
      <c r="F228" s="14"/>
    </row>
    <row r="229">
      <c r="A229" s="13"/>
      <c r="B229" s="14"/>
      <c r="D229" s="15"/>
      <c r="E229" s="16"/>
      <c r="F229" s="14"/>
    </row>
    <row r="230">
      <c r="A230" s="13"/>
      <c r="B230" s="14"/>
      <c r="D230" s="15"/>
      <c r="E230" s="16"/>
      <c r="F230" s="14"/>
    </row>
    <row r="231">
      <c r="A231" s="13"/>
      <c r="B231" s="14"/>
      <c r="D231" s="15"/>
      <c r="E231" s="16"/>
      <c r="F231" s="14"/>
    </row>
    <row r="232">
      <c r="A232" s="13"/>
      <c r="B232" s="14"/>
      <c r="D232" s="15"/>
      <c r="E232" s="16"/>
      <c r="F232" s="14"/>
    </row>
    <row r="233">
      <c r="A233" s="13"/>
      <c r="B233" s="14"/>
      <c r="D233" s="15"/>
      <c r="E233" s="16"/>
      <c r="F233" s="14"/>
    </row>
    <row r="234">
      <c r="A234" s="13"/>
      <c r="B234" s="14"/>
      <c r="D234" s="15"/>
      <c r="E234" s="16"/>
      <c r="F234" s="14"/>
    </row>
    <row r="235">
      <c r="A235" s="13"/>
      <c r="B235" s="14"/>
      <c r="D235" s="15"/>
      <c r="E235" s="16"/>
      <c r="F235" s="14"/>
    </row>
    <row r="236">
      <c r="A236" s="13"/>
      <c r="B236" s="14"/>
      <c r="D236" s="15"/>
      <c r="E236" s="16"/>
      <c r="F236" s="14"/>
    </row>
    <row r="237">
      <c r="A237" s="13"/>
      <c r="B237" s="14"/>
      <c r="D237" s="15"/>
      <c r="E237" s="16"/>
      <c r="F237" s="14"/>
    </row>
    <row r="238">
      <c r="A238" s="13"/>
      <c r="B238" s="14"/>
      <c r="D238" s="15"/>
      <c r="E238" s="16"/>
      <c r="F238" s="14"/>
    </row>
    <row r="239">
      <c r="A239" s="13"/>
      <c r="B239" s="14"/>
      <c r="D239" s="15"/>
      <c r="E239" s="16"/>
      <c r="F239" s="14"/>
    </row>
    <row r="240">
      <c r="A240" s="13"/>
      <c r="B240" s="14"/>
      <c r="D240" s="15"/>
      <c r="E240" s="16"/>
      <c r="F240" s="14"/>
    </row>
    <row r="241">
      <c r="A241" s="13"/>
      <c r="B241" s="14"/>
      <c r="D241" s="15"/>
      <c r="E241" s="16"/>
      <c r="F241" s="14"/>
    </row>
    <row r="242">
      <c r="A242" s="13"/>
      <c r="B242" s="14"/>
      <c r="D242" s="15"/>
      <c r="E242" s="16"/>
      <c r="F242" s="14"/>
    </row>
    <row r="243">
      <c r="A243" s="13"/>
      <c r="B243" s="14"/>
      <c r="D243" s="15"/>
      <c r="E243" s="16"/>
      <c r="F243" s="14"/>
    </row>
    <row r="244">
      <c r="A244" s="13"/>
      <c r="B244" s="14"/>
      <c r="D244" s="15"/>
      <c r="E244" s="16"/>
      <c r="F244" s="14"/>
    </row>
    <row r="245">
      <c r="A245" s="13"/>
      <c r="B245" s="14"/>
      <c r="D245" s="15"/>
      <c r="E245" s="16"/>
      <c r="F245" s="14"/>
    </row>
    <row r="246">
      <c r="A246" s="13"/>
      <c r="B246" s="14"/>
      <c r="D246" s="15"/>
      <c r="E246" s="16"/>
      <c r="F246" s="14"/>
    </row>
    <row r="247">
      <c r="A247" s="13"/>
      <c r="B247" s="14"/>
      <c r="D247" s="15"/>
      <c r="E247" s="16"/>
      <c r="F247" s="14"/>
    </row>
    <row r="248">
      <c r="A248" s="13"/>
      <c r="B248" s="14"/>
      <c r="D248" s="15"/>
      <c r="E248" s="16"/>
      <c r="F248" s="14"/>
    </row>
    <row r="249">
      <c r="A249" s="13"/>
      <c r="B249" s="14"/>
      <c r="D249" s="15"/>
      <c r="E249" s="16"/>
      <c r="F249" s="14"/>
    </row>
    <row r="250">
      <c r="A250" s="13"/>
      <c r="B250" s="14"/>
      <c r="D250" s="15"/>
      <c r="E250" s="16"/>
      <c r="F250" s="14"/>
    </row>
    <row r="251">
      <c r="A251" s="13"/>
      <c r="B251" s="14"/>
      <c r="D251" s="15"/>
      <c r="E251" s="16"/>
      <c r="F251" s="14"/>
    </row>
    <row r="252">
      <c r="A252" s="13"/>
      <c r="B252" s="14"/>
      <c r="D252" s="15"/>
      <c r="E252" s="16"/>
      <c r="F252" s="14"/>
    </row>
    <row r="253">
      <c r="A253" s="13"/>
      <c r="B253" s="14"/>
      <c r="D253" s="15"/>
      <c r="E253" s="16"/>
      <c r="F253" s="14"/>
    </row>
    <row r="254">
      <c r="A254" s="13"/>
      <c r="B254" s="14"/>
      <c r="D254" s="15"/>
      <c r="E254" s="16"/>
      <c r="F254" s="14"/>
    </row>
    <row r="255">
      <c r="A255" s="13"/>
      <c r="B255" s="14"/>
      <c r="D255" s="15"/>
      <c r="E255" s="16"/>
      <c r="F255" s="14"/>
    </row>
    <row r="256">
      <c r="A256" s="13"/>
      <c r="B256" s="14"/>
      <c r="D256" s="15"/>
      <c r="E256" s="16"/>
      <c r="F256" s="14"/>
    </row>
    <row r="257">
      <c r="A257" s="13"/>
      <c r="B257" s="14"/>
      <c r="D257" s="15"/>
      <c r="E257" s="16"/>
      <c r="F257" s="14"/>
    </row>
    <row r="258">
      <c r="A258" s="13"/>
      <c r="B258" s="14"/>
      <c r="D258" s="15"/>
      <c r="E258" s="16"/>
      <c r="F258" s="14"/>
    </row>
    <row r="259">
      <c r="A259" s="13"/>
      <c r="B259" s="14"/>
      <c r="D259" s="15"/>
      <c r="E259" s="16"/>
      <c r="F259" s="14"/>
    </row>
    <row r="260">
      <c r="A260" s="13"/>
      <c r="B260" s="14"/>
      <c r="D260" s="15"/>
      <c r="E260" s="16"/>
      <c r="F260" s="14"/>
    </row>
    <row r="261">
      <c r="A261" s="13"/>
      <c r="B261" s="14"/>
      <c r="D261" s="15"/>
      <c r="E261" s="16"/>
      <c r="F261" s="14"/>
    </row>
    <row r="262">
      <c r="A262" s="13"/>
      <c r="B262" s="14"/>
      <c r="D262" s="15"/>
      <c r="E262" s="16"/>
      <c r="F262" s="14"/>
    </row>
    <row r="263">
      <c r="A263" s="13"/>
      <c r="B263" s="14"/>
      <c r="D263" s="15"/>
      <c r="E263" s="16"/>
      <c r="F263" s="14"/>
    </row>
    <row r="264">
      <c r="A264" s="13"/>
      <c r="B264" s="14"/>
      <c r="D264" s="15"/>
      <c r="E264" s="16"/>
      <c r="F264" s="14"/>
    </row>
    <row r="265">
      <c r="A265" s="13"/>
      <c r="B265" s="14"/>
      <c r="D265" s="15"/>
      <c r="E265" s="16"/>
      <c r="F265" s="14"/>
    </row>
    <row r="266">
      <c r="A266" s="13"/>
      <c r="B266" s="14"/>
      <c r="D266" s="15"/>
      <c r="E266" s="16"/>
      <c r="F266" s="14"/>
    </row>
    <row r="267">
      <c r="A267" s="13"/>
      <c r="B267" s="14"/>
      <c r="D267" s="15"/>
      <c r="E267" s="16"/>
      <c r="F267" s="14"/>
    </row>
    <row r="268">
      <c r="A268" s="13"/>
      <c r="B268" s="14"/>
      <c r="D268" s="15"/>
      <c r="E268" s="16"/>
      <c r="F268" s="14"/>
    </row>
    <row r="269">
      <c r="A269" s="13"/>
      <c r="B269" s="14"/>
      <c r="D269" s="15"/>
      <c r="E269" s="16"/>
      <c r="F269" s="14"/>
    </row>
    <row r="270">
      <c r="A270" s="13"/>
      <c r="B270" s="14"/>
      <c r="D270" s="15"/>
      <c r="E270" s="16"/>
      <c r="F270" s="14"/>
    </row>
    <row r="271">
      <c r="A271" s="13"/>
      <c r="B271" s="14"/>
      <c r="D271" s="15"/>
      <c r="E271" s="16"/>
      <c r="F271" s="14"/>
    </row>
    <row r="272">
      <c r="A272" s="13"/>
      <c r="B272" s="14"/>
      <c r="D272" s="15"/>
      <c r="E272" s="16"/>
      <c r="F272" s="14"/>
    </row>
    <row r="273">
      <c r="A273" s="13"/>
      <c r="B273" s="14"/>
      <c r="D273" s="15"/>
      <c r="E273" s="16"/>
      <c r="F273" s="14"/>
    </row>
    <row r="274">
      <c r="A274" s="13"/>
      <c r="B274" s="14"/>
      <c r="D274" s="15"/>
      <c r="E274" s="16"/>
      <c r="F274" s="14"/>
    </row>
    <row r="275">
      <c r="A275" s="13"/>
      <c r="B275" s="14"/>
      <c r="D275" s="15"/>
      <c r="E275" s="16"/>
      <c r="F275" s="14"/>
    </row>
    <row r="276">
      <c r="A276" s="13"/>
      <c r="B276" s="14"/>
      <c r="D276" s="15"/>
      <c r="E276" s="16"/>
      <c r="F276" s="14"/>
    </row>
    <row r="277">
      <c r="A277" s="13"/>
      <c r="B277" s="14"/>
      <c r="D277" s="15"/>
      <c r="E277" s="16"/>
      <c r="F277" s="14"/>
    </row>
    <row r="278">
      <c r="A278" s="13"/>
      <c r="B278" s="14"/>
      <c r="D278" s="15"/>
      <c r="E278" s="16"/>
      <c r="F278" s="14"/>
    </row>
    <row r="279">
      <c r="A279" s="13"/>
      <c r="B279" s="14"/>
      <c r="D279" s="15"/>
      <c r="E279" s="16"/>
      <c r="F279" s="14"/>
    </row>
    <row r="280">
      <c r="A280" s="13"/>
      <c r="B280" s="14"/>
      <c r="D280" s="15"/>
      <c r="E280" s="16"/>
      <c r="F280" s="14"/>
    </row>
    <row r="281">
      <c r="A281" s="13"/>
      <c r="B281" s="14"/>
      <c r="D281" s="15"/>
      <c r="E281" s="16"/>
      <c r="F281" s="14"/>
    </row>
    <row r="282">
      <c r="A282" s="13"/>
      <c r="B282" s="14"/>
      <c r="D282" s="15"/>
      <c r="E282" s="16"/>
      <c r="F282" s="14"/>
    </row>
    <row r="283">
      <c r="A283" s="13"/>
      <c r="B283" s="14"/>
      <c r="D283" s="15"/>
      <c r="E283" s="16"/>
      <c r="F283" s="14"/>
    </row>
    <row r="284">
      <c r="A284" s="13"/>
      <c r="B284" s="14"/>
      <c r="D284" s="15"/>
      <c r="E284" s="16"/>
      <c r="F284" s="14"/>
    </row>
    <row r="285">
      <c r="A285" s="13"/>
      <c r="B285" s="14"/>
      <c r="D285" s="15"/>
      <c r="E285" s="16"/>
      <c r="F285" s="14"/>
    </row>
    <row r="286">
      <c r="A286" s="13"/>
      <c r="B286" s="14"/>
      <c r="D286" s="15"/>
      <c r="E286" s="16"/>
      <c r="F286" s="14"/>
    </row>
    <row r="287">
      <c r="A287" s="13"/>
      <c r="B287" s="14"/>
      <c r="D287" s="15"/>
      <c r="E287" s="16"/>
      <c r="F287" s="14"/>
    </row>
    <row r="288">
      <c r="A288" s="13"/>
      <c r="B288" s="14"/>
      <c r="D288" s="15"/>
      <c r="E288" s="16"/>
      <c r="F288" s="14"/>
    </row>
    <row r="289">
      <c r="A289" s="13"/>
      <c r="B289" s="14"/>
      <c r="D289" s="15"/>
      <c r="E289" s="16"/>
      <c r="F289" s="14"/>
    </row>
    <row r="290">
      <c r="A290" s="13"/>
      <c r="B290" s="14"/>
      <c r="D290" s="15"/>
      <c r="E290" s="16"/>
      <c r="F290" s="14"/>
    </row>
    <row r="291">
      <c r="A291" s="13"/>
      <c r="B291" s="14"/>
      <c r="D291" s="15"/>
      <c r="E291" s="16"/>
      <c r="F291" s="14"/>
    </row>
    <row r="292">
      <c r="A292" s="13"/>
      <c r="B292" s="14"/>
      <c r="D292" s="15"/>
      <c r="E292" s="16"/>
      <c r="F292" s="14"/>
    </row>
    <row r="293">
      <c r="A293" s="13"/>
      <c r="B293" s="14"/>
      <c r="D293" s="15"/>
      <c r="E293" s="16"/>
      <c r="F293" s="14"/>
    </row>
    <row r="294">
      <c r="A294" s="13"/>
      <c r="B294" s="14"/>
      <c r="D294" s="15"/>
      <c r="E294" s="16"/>
      <c r="F294" s="14"/>
    </row>
    <row r="295">
      <c r="A295" s="13"/>
      <c r="B295" s="14"/>
      <c r="D295" s="15"/>
      <c r="E295" s="16"/>
      <c r="F295" s="14"/>
    </row>
    <row r="296">
      <c r="A296" s="13"/>
      <c r="B296" s="14"/>
      <c r="D296" s="15"/>
      <c r="E296" s="16"/>
      <c r="F296" s="14"/>
    </row>
    <row r="297">
      <c r="A297" s="13"/>
      <c r="B297" s="14"/>
      <c r="D297" s="15"/>
      <c r="E297" s="16"/>
      <c r="F297" s="14"/>
    </row>
    <row r="298">
      <c r="A298" s="13"/>
      <c r="B298" s="14"/>
      <c r="D298" s="15"/>
      <c r="E298" s="16"/>
      <c r="F298" s="14"/>
    </row>
    <row r="299">
      <c r="A299" s="13"/>
      <c r="B299" s="14"/>
      <c r="D299" s="15"/>
      <c r="E299" s="16"/>
      <c r="F299" s="14"/>
    </row>
    <row r="300">
      <c r="A300" s="13"/>
      <c r="B300" s="14"/>
      <c r="D300" s="15"/>
      <c r="E300" s="16"/>
      <c r="F300" s="14"/>
    </row>
    <row r="301">
      <c r="A301" s="13"/>
      <c r="B301" s="14"/>
      <c r="D301" s="15"/>
      <c r="E301" s="16"/>
      <c r="F301" s="14"/>
    </row>
    <row r="302">
      <c r="A302" s="13"/>
      <c r="B302" s="14"/>
      <c r="D302" s="15"/>
      <c r="E302" s="16"/>
      <c r="F302" s="14"/>
    </row>
    <row r="303">
      <c r="A303" s="13"/>
      <c r="B303" s="14"/>
      <c r="D303" s="15"/>
      <c r="E303" s="16"/>
      <c r="F303" s="14"/>
    </row>
    <row r="304">
      <c r="A304" s="13"/>
      <c r="B304" s="14"/>
      <c r="D304" s="15"/>
      <c r="E304" s="16"/>
      <c r="F304" s="14"/>
    </row>
    <row r="305">
      <c r="A305" s="13"/>
      <c r="B305" s="14"/>
      <c r="D305" s="15"/>
      <c r="E305" s="16"/>
      <c r="F305" s="14"/>
    </row>
    <row r="306">
      <c r="A306" s="13"/>
      <c r="B306" s="14"/>
      <c r="D306" s="15"/>
      <c r="E306" s="16"/>
      <c r="F306" s="14"/>
    </row>
    <row r="307">
      <c r="A307" s="13"/>
      <c r="B307" s="14"/>
      <c r="D307" s="15"/>
      <c r="E307" s="16"/>
      <c r="F307" s="14"/>
    </row>
    <row r="308">
      <c r="A308" s="13"/>
      <c r="B308" s="14"/>
      <c r="D308" s="15"/>
      <c r="E308" s="16"/>
      <c r="F308" s="14"/>
    </row>
    <row r="309">
      <c r="A309" s="13"/>
      <c r="B309" s="14"/>
      <c r="D309" s="15"/>
      <c r="E309" s="16"/>
      <c r="F309" s="14"/>
    </row>
    <row r="310">
      <c r="A310" s="13"/>
      <c r="B310" s="14"/>
      <c r="D310" s="15"/>
      <c r="E310" s="16"/>
      <c r="F310" s="14"/>
    </row>
    <row r="311">
      <c r="A311" s="13"/>
      <c r="B311" s="14"/>
      <c r="D311" s="15"/>
      <c r="E311" s="16"/>
      <c r="F311" s="14"/>
    </row>
    <row r="312">
      <c r="A312" s="13"/>
      <c r="B312" s="14"/>
      <c r="D312" s="15"/>
      <c r="E312" s="16"/>
      <c r="F312" s="14"/>
    </row>
    <row r="313">
      <c r="A313" s="13"/>
      <c r="B313" s="14"/>
      <c r="D313" s="15"/>
      <c r="E313" s="16"/>
      <c r="F313" s="14"/>
    </row>
    <row r="314">
      <c r="A314" s="13"/>
      <c r="B314" s="14"/>
      <c r="D314" s="15"/>
      <c r="E314" s="16"/>
      <c r="F314" s="14"/>
    </row>
    <row r="315">
      <c r="A315" s="13"/>
      <c r="B315" s="14"/>
      <c r="D315" s="15"/>
      <c r="E315" s="16"/>
      <c r="F315" s="14"/>
    </row>
    <row r="316">
      <c r="A316" s="13"/>
      <c r="B316" s="14"/>
      <c r="D316" s="15"/>
      <c r="E316" s="16"/>
      <c r="F316" s="14"/>
    </row>
    <row r="317">
      <c r="A317" s="13"/>
      <c r="B317" s="14"/>
      <c r="D317" s="15"/>
      <c r="E317" s="16"/>
      <c r="F317" s="14"/>
    </row>
    <row r="318">
      <c r="A318" s="13"/>
      <c r="B318" s="14"/>
      <c r="D318" s="15"/>
      <c r="E318" s="16"/>
      <c r="F318" s="14"/>
    </row>
    <row r="319">
      <c r="A319" s="13"/>
      <c r="B319" s="14"/>
      <c r="D319" s="15"/>
      <c r="E319" s="16"/>
      <c r="F319" s="14"/>
    </row>
    <row r="320">
      <c r="A320" s="13"/>
      <c r="B320" s="14"/>
      <c r="D320" s="15"/>
      <c r="E320" s="16"/>
      <c r="F320" s="14"/>
    </row>
    <row r="321">
      <c r="A321" s="13"/>
      <c r="B321" s="14"/>
      <c r="D321" s="15"/>
      <c r="E321" s="16"/>
      <c r="F321" s="14"/>
    </row>
    <row r="322">
      <c r="A322" s="13"/>
      <c r="B322" s="14"/>
      <c r="D322" s="15"/>
      <c r="E322" s="16"/>
      <c r="F322" s="14"/>
    </row>
    <row r="323">
      <c r="A323" s="13"/>
      <c r="B323" s="14"/>
      <c r="D323" s="15"/>
      <c r="E323" s="16"/>
      <c r="F323" s="14"/>
    </row>
    <row r="324">
      <c r="A324" s="13"/>
      <c r="B324" s="14"/>
      <c r="D324" s="15"/>
      <c r="E324" s="16"/>
      <c r="F324" s="14"/>
    </row>
    <row r="325">
      <c r="A325" s="13"/>
      <c r="B325" s="14"/>
      <c r="D325" s="15"/>
      <c r="E325" s="16"/>
      <c r="F325" s="14"/>
    </row>
    <row r="326">
      <c r="A326" s="13"/>
      <c r="B326" s="14"/>
      <c r="D326" s="15"/>
      <c r="E326" s="16"/>
      <c r="F326" s="14"/>
    </row>
    <row r="327">
      <c r="A327" s="13"/>
      <c r="B327" s="14"/>
      <c r="D327" s="15"/>
      <c r="E327" s="16"/>
      <c r="F327" s="14"/>
    </row>
    <row r="328">
      <c r="A328" s="13"/>
      <c r="B328" s="14"/>
      <c r="D328" s="15"/>
      <c r="E328" s="16"/>
      <c r="F328" s="14"/>
    </row>
    <row r="329">
      <c r="A329" s="13"/>
      <c r="B329" s="14"/>
      <c r="D329" s="15"/>
      <c r="E329" s="16"/>
      <c r="F329" s="14"/>
    </row>
    <row r="330">
      <c r="A330" s="13"/>
      <c r="B330" s="14"/>
      <c r="D330" s="15"/>
      <c r="E330" s="16"/>
      <c r="F330" s="14"/>
    </row>
    <row r="331">
      <c r="A331" s="13"/>
      <c r="B331" s="14"/>
      <c r="D331" s="15"/>
      <c r="E331" s="16"/>
      <c r="F331" s="14"/>
    </row>
    <row r="332">
      <c r="A332" s="13"/>
      <c r="B332" s="14"/>
      <c r="D332" s="15"/>
      <c r="E332" s="16"/>
      <c r="F332" s="14"/>
    </row>
    <row r="333">
      <c r="A333" s="13"/>
      <c r="B333" s="14"/>
      <c r="D333" s="15"/>
      <c r="E333" s="16"/>
      <c r="F333" s="14"/>
    </row>
    <row r="334">
      <c r="A334" s="13"/>
      <c r="B334" s="14"/>
      <c r="D334" s="15"/>
      <c r="E334" s="16"/>
      <c r="F334" s="14"/>
    </row>
    <row r="335">
      <c r="A335" s="13"/>
      <c r="B335" s="14"/>
      <c r="D335" s="15"/>
      <c r="E335" s="16"/>
      <c r="F335" s="14"/>
    </row>
    <row r="336">
      <c r="A336" s="13"/>
      <c r="B336" s="14"/>
      <c r="D336" s="15"/>
      <c r="E336" s="16"/>
      <c r="F336" s="14"/>
    </row>
    <row r="337">
      <c r="A337" s="13"/>
      <c r="B337" s="14"/>
      <c r="D337" s="15"/>
      <c r="E337" s="16"/>
      <c r="F337" s="14"/>
    </row>
    <row r="338">
      <c r="A338" s="13"/>
      <c r="B338" s="14"/>
      <c r="D338" s="15"/>
      <c r="E338" s="16"/>
      <c r="F338" s="14"/>
    </row>
    <row r="339">
      <c r="A339" s="13"/>
      <c r="B339" s="14"/>
      <c r="D339" s="15"/>
      <c r="E339" s="16"/>
      <c r="F339" s="14"/>
    </row>
    <row r="340">
      <c r="A340" s="13"/>
      <c r="B340" s="14"/>
      <c r="D340" s="15"/>
      <c r="E340" s="16"/>
      <c r="F340" s="14"/>
    </row>
    <row r="341">
      <c r="A341" s="13"/>
      <c r="B341" s="14"/>
      <c r="D341" s="15"/>
      <c r="E341" s="16"/>
      <c r="F341" s="14"/>
    </row>
    <row r="342">
      <c r="A342" s="13"/>
      <c r="B342" s="14"/>
      <c r="D342" s="15"/>
      <c r="E342" s="16"/>
      <c r="F342" s="14"/>
    </row>
    <row r="343">
      <c r="A343" s="13"/>
      <c r="B343" s="14"/>
      <c r="D343" s="15"/>
      <c r="E343" s="16"/>
      <c r="F343" s="14"/>
    </row>
    <row r="344">
      <c r="A344" s="13"/>
      <c r="B344" s="14"/>
      <c r="D344" s="15"/>
      <c r="E344" s="16"/>
      <c r="F344" s="14"/>
    </row>
    <row r="345">
      <c r="A345" s="13"/>
      <c r="B345" s="14"/>
      <c r="D345" s="15"/>
      <c r="E345" s="16"/>
      <c r="F345" s="14"/>
    </row>
    <row r="346">
      <c r="A346" s="13"/>
      <c r="B346" s="14"/>
      <c r="D346" s="15"/>
      <c r="E346" s="16"/>
      <c r="F346" s="14"/>
    </row>
    <row r="347">
      <c r="A347" s="13"/>
      <c r="B347" s="14"/>
      <c r="D347" s="15"/>
      <c r="E347" s="16"/>
      <c r="F347" s="14"/>
    </row>
    <row r="348">
      <c r="A348" s="13"/>
      <c r="B348" s="14"/>
      <c r="D348" s="15"/>
      <c r="E348" s="16"/>
      <c r="F348" s="14"/>
    </row>
    <row r="349">
      <c r="A349" s="13"/>
      <c r="B349" s="14"/>
      <c r="D349" s="15"/>
      <c r="E349" s="16"/>
      <c r="F349" s="14"/>
    </row>
    <row r="350">
      <c r="A350" s="13"/>
      <c r="B350" s="14"/>
      <c r="D350" s="15"/>
      <c r="E350" s="16"/>
      <c r="F350" s="14"/>
    </row>
    <row r="351">
      <c r="A351" s="13"/>
      <c r="B351" s="14"/>
      <c r="D351" s="15"/>
      <c r="E351" s="16"/>
      <c r="F351" s="14"/>
    </row>
    <row r="352">
      <c r="A352" s="13"/>
      <c r="B352" s="14"/>
      <c r="D352" s="15"/>
      <c r="E352" s="16"/>
      <c r="F352" s="14"/>
    </row>
    <row r="353">
      <c r="A353" s="13"/>
      <c r="B353" s="14"/>
      <c r="D353" s="15"/>
      <c r="E353" s="16"/>
      <c r="F353" s="14"/>
    </row>
    <row r="354">
      <c r="A354" s="13"/>
      <c r="B354" s="14"/>
      <c r="D354" s="15"/>
      <c r="E354" s="16"/>
      <c r="F354" s="14"/>
    </row>
    <row r="355">
      <c r="A355" s="13"/>
      <c r="B355" s="14"/>
      <c r="D355" s="15"/>
      <c r="E355" s="16"/>
      <c r="F355" s="14"/>
    </row>
    <row r="356">
      <c r="A356" s="13"/>
      <c r="B356" s="14"/>
      <c r="D356" s="15"/>
      <c r="E356" s="16"/>
      <c r="F356" s="14"/>
    </row>
    <row r="357">
      <c r="A357" s="13"/>
      <c r="B357" s="14"/>
      <c r="D357" s="15"/>
      <c r="E357" s="16"/>
      <c r="F357" s="14"/>
    </row>
    <row r="358">
      <c r="A358" s="13"/>
      <c r="B358" s="14"/>
      <c r="D358" s="15"/>
      <c r="E358" s="16"/>
      <c r="F358" s="14"/>
    </row>
    <row r="359">
      <c r="A359" s="13"/>
      <c r="B359" s="14"/>
      <c r="D359" s="15"/>
      <c r="E359" s="16"/>
      <c r="F359" s="14"/>
    </row>
    <row r="360">
      <c r="A360" s="13"/>
      <c r="B360" s="14"/>
      <c r="D360" s="15"/>
      <c r="E360" s="16"/>
      <c r="F360" s="14"/>
    </row>
    <row r="361">
      <c r="A361" s="13"/>
      <c r="B361" s="14"/>
      <c r="D361" s="15"/>
      <c r="E361" s="16"/>
      <c r="F361" s="14"/>
    </row>
    <row r="362">
      <c r="A362" s="13"/>
      <c r="B362" s="14"/>
      <c r="D362" s="15"/>
      <c r="E362" s="16"/>
      <c r="F362" s="14"/>
    </row>
    <row r="363">
      <c r="A363" s="13"/>
      <c r="B363" s="14"/>
      <c r="D363" s="15"/>
      <c r="E363" s="16"/>
      <c r="F363" s="14"/>
    </row>
    <row r="364">
      <c r="A364" s="13"/>
      <c r="B364" s="14"/>
      <c r="D364" s="15"/>
      <c r="E364" s="16"/>
      <c r="F364" s="14"/>
    </row>
    <row r="365">
      <c r="A365" s="13"/>
      <c r="B365" s="14"/>
      <c r="D365" s="15"/>
      <c r="E365" s="16"/>
      <c r="F365" s="14"/>
    </row>
    <row r="366">
      <c r="A366" s="13"/>
      <c r="B366" s="14"/>
      <c r="D366" s="15"/>
      <c r="E366" s="16"/>
      <c r="F366" s="14"/>
    </row>
    <row r="367">
      <c r="A367" s="13"/>
      <c r="B367" s="14"/>
      <c r="D367" s="15"/>
      <c r="E367" s="16"/>
      <c r="F367" s="14"/>
    </row>
    <row r="368">
      <c r="A368" s="13"/>
      <c r="B368" s="14"/>
      <c r="D368" s="15"/>
      <c r="E368" s="16"/>
      <c r="F368" s="14"/>
    </row>
    <row r="369">
      <c r="A369" s="13"/>
      <c r="B369" s="14"/>
      <c r="D369" s="15"/>
      <c r="E369" s="16"/>
      <c r="F369" s="14"/>
    </row>
    <row r="370">
      <c r="A370" s="13"/>
      <c r="B370" s="14"/>
      <c r="D370" s="15"/>
      <c r="E370" s="16"/>
      <c r="F370" s="14"/>
    </row>
    <row r="371">
      <c r="A371" s="13"/>
      <c r="B371" s="14"/>
      <c r="D371" s="15"/>
      <c r="E371" s="16"/>
      <c r="F371" s="14"/>
    </row>
    <row r="372">
      <c r="A372" s="13"/>
      <c r="B372" s="14"/>
      <c r="D372" s="15"/>
      <c r="E372" s="16"/>
      <c r="F372" s="14"/>
    </row>
    <row r="373">
      <c r="A373" s="13"/>
      <c r="B373" s="14"/>
      <c r="D373" s="15"/>
      <c r="E373" s="16"/>
      <c r="F373" s="14"/>
    </row>
    <row r="374">
      <c r="A374" s="13"/>
      <c r="B374" s="14"/>
      <c r="D374" s="15"/>
      <c r="E374" s="16"/>
      <c r="F374" s="14"/>
    </row>
    <row r="375">
      <c r="A375" s="13"/>
      <c r="B375" s="14"/>
      <c r="D375" s="15"/>
      <c r="E375" s="16"/>
      <c r="F375" s="14"/>
    </row>
    <row r="376">
      <c r="A376" s="13"/>
      <c r="B376" s="14"/>
      <c r="D376" s="15"/>
      <c r="E376" s="16"/>
      <c r="F376" s="14"/>
    </row>
    <row r="377">
      <c r="A377" s="13"/>
      <c r="B377" s="14"/>
      <c r="D377" s="15"/>
      <c r="E377" s="16"/>
      <c r="F377" s="14"/>
    </row>
    <row r="378">
      <c r="A378" s="13"/>
      <c r="B378" s="14"/>
      <c r="D378" s="15"/>
      <c r="E378" s="16"/>
      <c r="F378" s="14"/>
    </row>
    <row r="379">
      <c r="A379" s="13"/>
      <c r="B379" s="14"/>
      <c r="D379" s="15"/>
      <c r="E379" s="16"/>
      <c r="F379" s="14"/>
    </row>
    <row r="380">
      <c r="A380" s="13"/>
      <c r="B380" s="14"/>
      <c r="D380" s="15"/>
      <c r="E380" s="16"/>
      <c r="F380" s="14"/>
    </row>
    <row r="381">
      <c r="A381" s="13"/>
      <c r="B381" s="14"/>
      <c r="D381" s="15"/>
      <c r="E381" s="16"/>
      <c r="F381" s="14"/>
    </row>
    <row r="382">
      <c r="A382" s="13"/>
      <c r="B382" s="14"/>
      <c r="D382" s="15"/>
      <c r="E382" s="16"/>
      <c r="F382" s="14"/>
    </row>
    <row r="383">
      <c r="A383" s="13"/>
      <c r="B383" s="14"/>
      <c r="D383" s="15"/>
      <c r="E383" s="16"/>
      <c r="F383" s="14"/>
    </row>
    <row r="384">
      <c r="A384" s="13"/>
      <c r="B384" s="14"/>
      <c r="D384" s="15"/>
      <c r="E384" s="16"/>
      <c r="F384" s="14"/>
    </row>
    <row r="385">
      <c r="A385" s="13"/>
      <c r="B385" s="14"/>
      <c r="D385" s="15"/>
      <c r="E385" s="16"/>
      <c r="F385" s="14"/>
    </row>
    <row r="386">
      <c r="A386" s="13"/>
      <c r="B386" s="14"/>
      <c r="D386" s="15"/>
      <c r="E386" s="16"/>
      <c r="F386" s="14"/>
    </row>
    <row r="387">
      <c r="A387" s="13"/>
      <c r="B387" s="14"/>
      <c r="D387" s="15"/>
      <c r="E387" s="16"/>
      <c r="F387" s="14"/>
    </row>
    <row r="388">
      <c r="A388" s="13"/>
      <c r="B388" s="14"/>
      <c r="D388" s="15"/>
      <c r="E388" s="16"/>
      <c r="F388" s="14"/>
    </row>
    <row r="389">
      <c r="A389" s="13"/>
      <c r="B389" s="14"/>
      <c r="D389" s="15"/>
      <c r="E389" s="16"/>
      <c r="F389" s="14"/>
    </row>
    <row r="390">
      <c r="A390" s="13"/>
      <c r="B390" s="14"/>
      <c r="D390" s="15"/>
      <c r="E390" s="16"/>
      <c r="F390" s="14"/>
    </row>
    <row r="391">
      <c r="A391" s="13"/>
      <c r="B391" s="14"/>
      <c r="D391" s="15"/>
      <c r="E391" s="16"/>
      <c r="F391" s="14"/>
    </row>
    <row r="392">
      <c r="A392" s="13"/>
      <c r="B392" s="14"/>
      <c r="D392" s="15"/>
      <c r="E392" s="16"/>
      <c r="F392" s="14"/>
    </row>
    <row r="393">
      <c r="A393" s="13"/>
      <c r="B393" s="14"/>
      <c r="D393" s="15"/>
      <c r="E393" s="16"/>
      <c r="F393" s="14"/>
    </row>
    <row r="394">
      <c r="A394" s="13"/>
      <c r="B394" s="14"/>
      <c r="D394" s="15"/>
      <c r="E394" s="16"/>
      <c r="F394" s="14"/>
    </row>
    <row r="395">
      <c r="A395" s="13"/>
      <c r="B395" s="14"/>
      <c r="D395" s="15"/>
      <c r="E395" s="16"/>
      <c r="F395" s="14"/>
    </row>
    <row r="396">
      <c r="A396" s="13"/>
      <c r="B396" s="14"/>
      <c r="D396" s="15"/>
      <c r="E396" s="16"/>
      <c r="F396" s="14"/>
    </row>
    <row r="397">
      <c r="A397" s="13"/>
      <c r="B397" s="14"/>
      <c r="D397" s="15"/>
      <c r="E397" s="16"/>
      <c r="F397" s="14"/>
    </row>
    <row r="398">
      <c r="A398" s="13"/>
      <c r="B398" s="14"/>
      <c r="D398" s="15"/>
      <c r="E398" s="16"/>
      <c r="F398" s="14"/>
    </row>
    <row r="399">
      <c r="A399" s="13"/>
      <c r="B399" s="14"/>
      <c r="D399" s="15"/>
      <c r="E399" s="16"/>
      <c r="F399" s="14"/>
    </row>
    <row r="400">
      <c r="A400" s="13"/>
      <c r="B400" s="14"/>
      <c r="D400" s="15"/>
      <c r="E400" s="16"/>
      <c r="F400" s="14"/>
    </row>
    <row r="401">
      <c r="A401" s="13"/>
      <c r="B401" s="14"/>
      <c r="D401" s="15"/>
      <c r="E401" s="16"/>
      <c r="F401" s="14"/>
    </row>
    <row r="402">
      <c r="A402" s="13"/>
      <c r="B402" s="14"/>
      <c r="D402" s="15"/>
      <c r="E402" s="16"/>
      <c r="F402" s="14"/>
    </row>
    <row r="403">
      <c r="A403" s="13"/>
      <c r="B403" s="14"/>
      <c r="D403" s="15"/>
      <c r="E403" s="16"/>
      <c r="F403" s="14"/>
    </row>
    <row r="404">
      <c r="A404" s="13"/>
      <c r="B404" s="14"/>
      <c r="D404" s="15"/>
      <c r="E404" s="16"/>
      <c r="F404" s="14"/>
    </row>
    <row r="405">
      <c r="A405" s="13"/>
      <c r="B405" s="14"/>
      <c r="D405" s="15"/>
      <c r="E405" s="16"/>
      <c r="F405" s="14"/>
    </row>
    <row r="406">
      <c r="A406" s="13"/>
      <c r="B406" s="14"/>
      <c r="D406" s="15"/>
      <c r="E406" s="16"/>
      <c r="F406" s="14"/>
    </row>
    <row r="407">
      <c r="A407" s="13"/>
      <c r="B407" s="14"/>
      <c r="D407" s="15"/>
      <c r="E407" s="16"/>
      <c r="F407" s="14"/>
    </row>
    <row r="408">
      <c r="A408" s="13"/>
      <c r="B408" s="14"/>
      <c r="D408" s="15"/>
      <c r="E408" s="16"/>
      <c r="F408" s="14"/>
    </row>
    <row r="409">
      <c r="A409" s="13"/>
      <c r="B409" s="14"/>
      <c r="D409" s="15"/>
      <c r="E409" s="16"/>
      <c r="F409" s="14"/>
    </row>
    <row r="410">
      <c r="A410" s="13"/>
      <c r="B410" s="14"/>
      <c r="D410" s="15"/>
      <c r="E410" s="16"/>
      <c r="F410" s="14"/>
    </row>
    <row r="411">
      <c r="A411" s="13"/>
      <c r="B411" s="14"/>
      <c r="D411" s="15"/>
      <c r="E411" s="16"/>
      <c r="F411" s="14"/>
    </row>
    <row r="412">
      <c r="A412" s="13"/>
      <c r="B412" s="14"/>
      <c r="D412" s="15"/>
      <c r="E412" s="16"/>
      <c r="F412" s="14"/>
    </row>
    <row r="413">
      <c r="A413" s="13"/>
      <c r="B413" s="14"/>
      <c r="D413" s="15"/>
      <c r="E413" s="16"/>
      <c r="F413" s="14"/>
    </row>
    <row r="414">
      <c r="A414" s="13"/>
      <c r="B414" s="14"/>
      <c r="D414" s="15"/>
      <c r="E414" s="16"/>
      <c r="F414" s="14"/>
    </row>
    <row r="415">
      <c r="A415" s="13"/>
      <c r="B415" s="14"/>
      <c r="D415" s="15"/>
      <c r="E415" s="16"/>
      <c r="F415" s="14"/>
    </row>
    <row r="416">
      <c r="A416" s="13"/>
      <c r="B416" s="14"/>
      <c r="D416" s="15"/>
      <c r="E416" s="16"/>
      <c r="F416" s="14"/>
    </row>
    <row r="417">
      <c r="A417" s="13"/>
      <c r="B417" s="14"/>
      <c r="D417" s="15"/>
      <c r="E417" s="16"/>
      <c r="F417" s="14"/>
    </row>
    <row r="418">
      <c r="A418" s="13"/>
      <c r="B418" s="14"/>
      <c r="D418" s="15"/>
      <c r="E418" s="16"/>
      <c r="F418" s="14"/>
    </row>
    <row r="419">
      <c r="A419" s="13"/>
      <c r="B419" s="14"/>
      <c r="D419" s="15"/>
      <c r="E419" s="16"/>
      <c r="F419" s="14"/>
    </row>
    <row r="420">
      <c r="A420" s="13"/>
      <c r="B420" s="14"/>
      <c r="D420" s="15"/>
      <c r="E420" s="16"/>
      <c r="F420" s="14"/>
    </row>
    <row r="421">
      <c r="A421" s="13"/>
      <c r="B421" s="14"/>
      <c r="D421" s="15"/>
      <c r="E421" s="16"/>
      <c r="F421" s="14"/>
    </row>
    <row r="422">
      <c r="A422" s="13"/>
      <c r="B422" s="14"/>
      <c r="D422" s="15"/>
      <c r="E422" s="16"/>
      <c r="F422" s="14"/>
    </row>
    <row r="423">
      <c r="A423" s="13"/>
      <c r="B423" s="14"/>
      <c r="D423" s="15"/>
      <c r="E423" s="16"/>
      <c r="F423" s="14"/>
    </row>
    <row r="424">
      <c r="A424" s="13"/>
      <c r="B424" s="14"/>
      <c r="D424" s="15"/>
      <c r="E424" s="16"/>
      <c r="F424" s="14"/>
    </row>
    <row r="425">
      <c r="A425" s="13"/>
      <c r="B425" s="14"/>
      <c r="D425" s="15"/>
      <c r="E425" s="16"/>
      <c r="F425" s="14"/>
    </row>
    <row r="426">
      <c r="A426" s="13"/>
      <c r="B426" s="14"/>
      <c r="D426" s="15"/>
      <c r="E426" s="16"/>
      <c r="F426" s="14"/>
    </row>
    <row r="427">
      <c r="A427" s="13"/>
      <c r="B427" s="14"/>
      <c r="D427" s="15"/>
      <c r="E427" s="16"/>
      <c r="F427" s="14"/>
    </row>
    <row r="428">
      <c r="A428" s="13"/>
      <c r="B428" s="14"/>
      <c r="D428" s="15"/>
      <c r="E428" s="16"/>
      <c r="F428" s="14"/>
    </row>
    <row r="429">
      <c r="A429" s="13"/>
      <c r="B429" s="14"/>
      <c r="D429" s="15"/>
      <c r="E429" s="16"/>
      <c r="F429" s="14"/>
    </row>
    <row r="430">
      <c r="A430" s="13"/>
      <c r="B430" s="14"/>
      <c r="D430" s="15"/>
      <c r="E430" s="16"/>
      <c r="F430" s="14"/>
    </row>
    <row r="431">
      <c r="A431" s="13"/>
      <c r="B431" s="14"/>
      <c r="D431" s="15"/>
      <c r="E431" s="16"/>
      <c r="F431" s="14"/>
    </row>
    <row r="432">
      <c r="A432" s="13"/>
      <c r="B432" s="14"/>
      <c r="D432" s="15"/>
      <c r="E432" s="16"/>
      <c r="F432" s="14"/>
    </row>
    <row r="433">
      <c r="A433" s="13"/>
      <c r="B433" s="14"/>
      <c r="D433" s="15"/>
      <c r="E433" s="16"/>
      <c r="F433" s="14"/>
    </row>
    <row r="434">
      <c r="A434" s="13"/>
      <c r="B434" s="14"/>
      <c r="D434" s="15"/>
      <c r="E434" s="16"/>
      <c r="F434" s="14"/>
    </row>
    <row r="435">
      <c r="A435" s="13"/>
      <c r="B435" s="14"/>
      <c r="D435" s="15"/>
      <c r="E435" s="16"/>
      <c r="F435" s="14"/>
    </row>
    <row r="436">
      <c r="A436" s="13"/>
      <c r="B436" s="14"/>
      <c r="D436" s="15"/>
      <c r="E436" s="16"/>
      <c r="F436" s="14"/>
    </row>
    <row r="437">
      <c r="A437" s="13"/>
      <c r="B437" s="14"/>
      <c r="D437" s="15"/>
      <c r="E437" s="16"/>
      <c r="F437" s="14"/>
    </row>
    <row r="438">
      <c r="A438" s="13"/>
      <c r="B438" s="14"/>
      <c r="D438" s="15"/>
      <c r="E438" s="16"/>
      <c r="F438" s="14"/>
    </row>
    <row r="439">
      <c r="A439" s="13"/>
      <c r="B439" s="14"/>
      <c r="D439" s="15"/>
      <c r="E439" s="16"/>
      <c r="F439" s="14"/>
    </row>
    <row r="440">
      <c r="A440" s="13"/>
      <c r="B440" s="14"/>
      <c r="D440" s="15"/>
      <c r="E440" s="16"/>
      <c r="F440" s="14"/>
    </row>
    <row r="441">
      <c r="A441" s="13"/>
      <c r="B441" s="14"/>
      <c r="D441" s="15"/>
      <c r="E441" s="16"/>
      <c r="F441" s="14"/>
    </row>
    <row r="442">
      <c r="A442" s="13"/>
      <c r="B442" s="14"/>
      <c r="D442" s="15"/>
      <c r="E442" s="16"/>
      <c r="F442" s="14"/>
    </row>
    <row r="443">
      <c r="A443" s="13"/>
      <c r="B443" s="14"/>
      <c r="D443" s="15"/>
      <c r="E443" s="16"/>
      <c r="F443" s="14"/>
    </row>
    <row r="444">
      <c r="A444" s="13"/>
      <c r="B444" s="14"/>
      <c r="D444" s="15"/>
      <c r="E444" s="16"/>
      <c r="F444" s="14"/>
    </row>
    <row r="445">
      <c r="A445" s="13"/>
      <c r="B445" s="14"/>
      <c r="D445" s="15"/>
      <c r="E445" s="16"/>
      <c r="F445" s="14"/>
    </row>
    <row r="446">
      <c r="A446" s="13"/>
      <c r="B446" s="14"/>
      <c r="D446" s="15"/>
      <c r="E446" s="16"/>
      <c r="F446" s="14"/>
    </row>
    <row r="447">
      <c r="A447" s="13"/>
      <c r="B447" s="14"/>
      <c r="D447" s="15"/>
      <c r="E447" s="16"/>
      <c r="F447" s="14"/>
    </row>
    <row r="448">
      <c r="A448" s="13"/>
      <c r="B448" s="14"/>
      <c r="D448" s="15"/>
      <c r="E448" s="16"/>
      <c r="F448" s="14"/>
    </row>
    <row r="449">
      <c r="A449" s="13"/>
      <c r="B449" s="14"/>
      <c r="D449" s="15"/>
      <c r="E449" s="16"/>
      <c r="F449" s="14"/>
    </row>
    <row r="450">
      <c r="A450" s="13"/>
      <c r="B450" s="14"/>
      <c r="D450" s="15"/>
      <c r="E450" s="16"/>
      <c r="F450" s="14"/>
    </row>
    <row r="451">
      <c r="A451" s="13"/>
      <c r="B451" s="14"/>
      <c r="D451" s="15"/>
      <c r="E451" s="16"/>
      <c r="F451" s="14"/>
    </row>
    <row r="452">
      <c r="A452" s="13"/>
      <c r="B452" s="14"/>
      <c r="D452" s="15"/>
      <c r="E452" s="16"/>
      <c r="F452" s="14"/>
    </row>
    <row r="453">
      <c r="A453" s="13"/>
      <c r="B453" s="14"/>
      <c r="D453" s="15"/>
      <c r="E453" s="16"/>
      <c r="F453" s="14"/>
    </row>
    <row r="454">
      <c r="A454" s="13"/>
      <c r="B454" s="14"/>
      <c r="D454" s="15"/>
      <c r="E454" s="16"/>
      <c r="F454" s="14"/>
    </row>
    <row r="455">
      <c r="A455" s="13"/>
      <c r="B455" s="14"/>
      <c r="D455" s="15"/>
      <c r="E455" s="16"/>
      <c r="F455" s="14"/>
    </row>
    <row r="456">
      <c r="A456" s="13"/>
      <c r="B456" s="14"/>
      <c r="D456" s="15"/>
      <c r="E456" s="16"/>
      <c r="F456" s="14"/>
    </row>
    <row r="457">
      <c r="A457" s="13"/>
      <c r="B457" s="14"/>
      <c r="D457" s="15"/>
      <c r="E457" s="16"/>
      <c r="F457" s="14"/>
    </row>
    <row r="458">
      <c r="A458" s="13"/>
      <c r="B458" s="14"/>
      <c r="D458" s="15"/>
      <c r="E458" s="16"/>
      <c r="F458" s="14"/>
    </row>
    <row r="459">
      <c r="A459" s="13"/>
      <c r="B459" s="14"/>
      <c r="D459" s="15"/>
      <c r="E459" s="16"/>
      <c r="F459" s="14"/>
    </row>
    <row r="460">
      <c r="A460" s="13"/>
      <c r="B460" s="14"/>
      <c r="D460" s="15"/>
      <c r="E460" s="16"/>
      <c r="F460" s="14"/>
    </row>
    <row r="461">
      <c r="A461" s="13"/>
      <c r="B461" s="14"/>
      <c r="D461" s="15"/>
      <c r="E461" s="16"/>
      <c r="F461" s="14"/>
    </row>
    <row r="462">
      <c r="A462" s="13"/>
      <c r="B462" s="14"/>
      <c r="D462" s="15"/>
      <c r="E462" s="16"/>
      <c r="F462" s="14"/>
    </row>
    <row r="463">
      <c r="A463" s="13"/>
      <c r="B463" s="14"/>
      <c r="D463" s="15"/>
      <c r="E463" s="16"/>
      <c r="F463" s="14"/>
    </row>
    <row r="464">
      <c r="A464" s="13"/>
      <c r="B464" s="14"/>
      <c r="D464" s="15"/>
      <c r="E464" s="16"/>
      <c r="F464" s="14"/>
    </row>
    <row r="465">
      <c r="A465" s="13"/>
      <c r="B465" s="14"/>
      <c r="D465" s="15"/>
      <c r="E465" s="16"/>
      <c r="F465" s="14"/>
    </row>
    <row r="466">
      <c r="A466" s="13"/>
      <c r="B466" s="14"/>
      <c r="D466" s="15"/>
      <c r="E466" s="16"/>
      <c r="F466" s="14"/>
    </row>
    <row r="467">
      <c r="A467" s="13"/>
      <c r="B467" s="14"/>
      <c r="D467" s="15"/>
      <c r="E467" s="16"/>
      <c r="F467" s="14"/>
    </row>
    <row r="468">
      <c r="A468" s="13"/>
      <c r="B468" s="14"/>
      <c r="D468" s="15"/>
      <c r="E468" s="16"/>
      <c r="F468" s="14"/>
    </row>
    <row r="469">
      <c r="A469" s="13"/>
      <c r="B469" s="14"/>
      <c r="D469" s="15"/>
      <c r="E469" s="16"/>
      <c r="F469" s="14"/>
    </row>
    <row r="470">
      <c r="A470" s="13"/>
      <c r="B470" s="14"/>
      <c r="D470" s="15"/>
      <c r="E470" s="16"/>
      <c r="F470" s="14"/>
    </row>
    <row r="471">
      <c r="A471" s="13"/>
      <c r="B471" s="14"/>
      <c r="D471" s="15"/>
      <c r="E471" s="16"/>
      <c r="F471" s="14"/>
    </row>
    <row r="472">
      <c r="A472" s="13"/>
      <c r="B472" s="14"/>
      <c r="D472" s="15"/>
      <c r="E472" s="16"/>
      <c r="F472" s="14"/>
    </row>
    <row r="473">
      <c r="A473" s="13"/>
      <c r="B473" s="14"/>
      <c r="D473" s="15"/>
      <c r="E473" s="16"/>
      <c r="F473" s="14"/>
    </row>
    <row r="474">
      <c r="A474" s="13"/>
      <c r="B474" s="14"/>
      <c r="D474" s="15"/>
      <c r="E474" s="16"/>
      <c r="F474" s="14"/>
    </row>
    <row r="475">
      <c r="A475" s="13"/>
      <c r="B475" s="14"/>
      <c r="D475" s="15"/>
      <c r="E475" s="16"/>
      <c r="F475" s="14"/>
    </row>
    <row r="476">
      <c r="A476" s="13"/>
      <c r="B476" s="14"/>
      <c r="D476" s="15"/>
      <c r="E476" s="16"/>
      <c r="F476" s="14"/>
    </row>
    <row r="477">
      <c r="A477" s="13"/>
      <c r="B477" s="14"/>
      <c r="D477" s="15"/>
      <c r="E477" s="16"/>
      <c r="F477" s="14"/>
    </row>
    <row r="478">
      <c r="A478" s="13"/>
      <c r="B478" s="14"/>
      <c r="D478" s="15"/>
      <c r="E478" s="16"/>
      <c r="F478" s="14"/>
    </row>
    <row r="479">
      <c r="A479" s="13"/>
      <c r="B479" s="14"/>
      <c r="D479" s="15"/>
      <c r="E479" s="16"/>
      <c r="F479" s="14"/>
    </row>
    <row r="480">
      <c r="A480" s="13"/>
      <c r="B480" s="14"/>
      <c r="D480" s="15"/>
      <c r="E480" s="16"/>
      <c r="F480" s="14"/>
    </row>
    <row r="481">
      <c r="A481" s="13"/>
      <c r="B481" s="14"/>
      <c r="D481" s="15"/>
      <c r="E481" s="16"/>
      <c r="F481" s="14"/>
    </row>
    <row r="482">
      <c r="A482" s="13"/>
      <c r="B482" s="14"/>
      <c r="D482" s="15"/>
      <c r="E482" s="16"/>
      <c r="F482" s="14"/>
    </row>
    <row r="483">
      <c r="A483" s="13"/>
      <c r="B483" s="14"/>
      <c r="D483" s="15"/>
      <c r="E483" s="16"/>
      <c r="F483" s="14"/>
    </row>
    <row r="484">
      <c r="A484" s="13"/>
      <c r="B484" s="14"/>
      <c r="D484" s="15"/>
      <c r="E484" s="16"/>
      <c r="F484" s="14"/>
    </row>
    <row r="485">
      <c r="A485" s="13"/>
      <c r="B485" s="14"/>
      <c r="D485" s="15"/>
      <c r="E485" s="16"/>
      <c r="F485" s="14"/>
    </row>
    <row r="486">
      <c r="A486" s="13"/>
      <c r="B486" s="14"/>
      <c r="D486" s="15"/>
      <c r="E486" s="16"/>
      <c r="F486" s="14"/>
    </row>
    <row r="487">
      <c r="A487" s="13"/>
      <c r="B487" s="14"/>
      <c r="D487" s="15"/>
      <c r="E487" s="16"/>
      <c r="F487" s="14"/>
    </row>
    <row r="488">
      <c r="A488" s="13"/>
      <c r="B488" s="14"/>
      <c r="D488" s="15"/>
      <c r="E488" s="16"/>
      <c r="F488" s="14"/>
    </row>
    <row r="489">
      <c r="A489" s="13"/>
      <c r="B489" s="14"/>
      <c r="D489" s="15"/>
      <c r="E489" s="16"/>
      <c r="F489" s="14"/>
    </row>
    <row r="490">
      <c r="A490" s="13"/>
      <c r="B490" s="14"/>
      <c r="D490" s="15"/>
      <c r="E490" s="16"/>
      <c r="F490" s="14"/>
    </row>
    <row r="491">
      <c r="A491" s="13"/>
      <c r="B491" s="14"/>
      <c r="D491" s="15"/>
      <c r="E491" s="16"/>
      <c r="F491" s="14"/>
    </row>
    <row r="492">
      <c r="A492" s="13"/>
      <c r="B492" s="14"/>
      <c r="D492" s="15"/>
      <c r="E492" s="16"/>
      <c r="F492" s="14"/>
    </row>
    <row r="493">
      <c r="A493" s="13"/>
      <c r="B493" s="14"/>
      <c r="D493" s="15"/>
      <c r="E493" s="16"/>
      <c r="F493" s="14"/>
    </row>
    <row r="494">
      <c r="A494" s="13"/>
      <c r="B494" s="14"/>
      <c r="D494" s="15"/>
      <c r="E494" s="16"/>
      <c r="F494" s="14"/>
    </row>
    <row r="495">
      <c r="A495" s="13"/>
      <c r="B495" s="14"/>
      <c r="D495" s="15"/>
      <c r="E495" s="16"/>
      <c r="F495" s="14"/>
    </row>
    <row r="496">
      <c r="A496" s="13"/>
      <c r="B496" s="14"/>
      <c r="D496" s="15"/>
      <c r="E496" s="16"/>
      <c r="F496" s="14"/>
    </row>
    <row r="497">
      <c r="A497" s="13"/>
      <c r="B497" s="14"/>
      <c r="D497" s="15"/>
      <c r="E497" s="16"/>
      <c r="F497" s="14"/>
    </row>
    <row r="498">
      <c r="A498" s="13"/>
      <c r="B498" s="14"/>
      <c r="D498" s="15"/>
      <c r="E498" s="16"/>
      <c r="F498" s="14"/>
    </row>
    <row r="499">
      <c r="A499" s="13"/>
      <c r="B499" s="14"/>
      <c r="D499" s="15"/>
      <c r="E499" s="16"/>
      <c r="F499" s="14"/>
    </row>
    <row r="500">
      <c r="A500" s="13"/>
      <c r="B500" s="14"/>
      <c r="D500" s="15"/>
      <c r="E500" s="16"/>
      <c r="F500" s="14"/>
    </row>
    <row r="501">
      <c r="A501" s="13"/>
      <c r="B501" s="14"/>
      <c r="D501" s="15"/>
      <c r="E501" s="16"/>
      <c r="F501" s="14"/>
    </row>
    <row r="502">
      <c r="A502" s="13"/>
      <c r="B502" s="14"/>
      <c r="D502" s="15"/>
      <c r="E502" s="16"/>
      <c r="F502" s="14"/>
    </row>
    <row r="503">
      <c r="A503" s="13"/>
      <c r="B503" s="14"/>
      <c r="D503" s="15"/>
      <c r="E503" s="16"/>
      <c r="F503" s="14"/>
    </row>
    <row r="504">
      <c r="A504" s="13"/>
      <c r="B504" s="14"/>
      <c r="D504" s="15"/>
      <c r="E504" s="16"/>
      <c r="F504" s="14"/>
    </row>
    <row r="505">
      <c r="A505" s="13"/>
      <c r="B505" s="14"/>
      <c r="D505" s="15"/>
      <c r="E505" s="16"/>
      <c r="F505" s="14"/>
    </row>
    <row r="506">
      <c r="A506" s="13"/>
      <c r="B506" s="14"/>
      <c r="D506" s="15"/>
      <c r="E506" s="16"/>
      <c r="F506" s="14"/>
    </row>
    <row r="507">
      <c r="A507" s="13"/>
      <c r="B507" s="14"/>
      <c r="D507" s="15"/>
      <c r="E507" s="16"/>
      <c r="F507" s="14"/>
    </row>
    <row r="508">
      <c r="A508" s="13"/>
      <c r="B508" s="14"/>
      <c r="D508" s="15"/>
      <c r="E508" s="16"/>
      <c r="F508" s="14"/>
    </row>
    <row r="509">
      <c r="A509" s="13"/>
      <c r="B509" s="14"/>
      <c r="D509" s="15"/>
      <c r="E509" s="16"/>
      <c r="F509" s="14"/>
    </row>
    <row r="510">
      <c r="A510" s="13"/>
      <c r="B510" s="14"/>
      <c r="D510" s="15"/>
      <c r="E510" s="16"/>
      <c r="F510" s="14"/>
    </row>
    <row r="511">
      <c r="A511" s="13"/>
      <c r="B511" s="14"/>
      <c r="D511" s="15"/>
      <c r="E511" s="16"/>
      <c r="F511" s="14"/>
    </row>
    <row r="512">
      <c r="A512" s="13"/>
      <c r="B512" s="14"/>
      <c r="D512" s="15"/>
      <c r="E512" s="16"/>
      <c r="F512" s="14"/>
    </row>
    <row r="513">
      <c r="A513" s="13"/>
      <c r="B513" s="14"/>
      <c r="D513" s="15"/>
      <c r="E513" s="16"/>
      <c r="F513" s="14"/>
    </row>
    <row r="514">
      <c r="A514" s="13"/>
      <c r="B514" s="14"/>
      <c r="D514" s="15"/>
      <c r="E514" s="16"/>
      <c r="F514" s="14"/>
    </row>
    <row r="515">
      <c r="A515" s="13"/>
      <c r="B515" s="14"/>
      <c r="D515" s="15"/>
      <c r="E515" s="16"/>
      <c r="F515" s="14"/>
    </row>
    <row r="516">
      <c r="A516" s="13"/>
      <c r="B516" s="14"/>
      <c r="D516" s="15"/>
      <c r="E516" s="16"/>
      <c r="F516" s="14"/>
    </row>
    <row r="517">
      <c r="A517" s="13"/>
      <c r="B517" s="14"/>
      <c r="D517" s="15"/>
      <c r="E517" s="16"/>
      <c r="F517" s="14"/>
    </row>
    <row r="518">
      <c r="A518" s="13"/>
      <c r="B518" s="14"/>
      <c r="D518" s="15"/>
      <c r="E518" s="16"/>
      <c r="F518" s="14"/>
    </row>
    <row r="519">
      <c r="A519" s="13"/>
      <c r="B519" s="14"/>
      <c r="D519" s="15"/>
      <c r="E519" s="16"/>
      <c r="F519" s="14"/>
    </row>
    <row r="520">
      <c r="A520" s="13"/>
      <c r="B520" s="14"/>
      <c r="D520" s="15"/>
      <c r="E520" s="16"/>
      <c r="F520" s="14"/>
    </row>
    <row r="521">
      <c r="A521" s="13"/>
      <c r="B521" s="14"/>
      <c r="D521" s="15"/>
      <c r="E521" s="16"/>
      <c r="F521" s="14"/>
    </row>
    <row r="522">
      <c r="A522" s="13"/>
      <c r="B522" s="14"/>
      <c r="D522" s="15"/>
      <c r="E522" s="16"/>
      <c r="F522" s="14"/>
    </row>
    <row r="523">
      <c r="A523" s="13"/>
      <c r="B523" s="14"/>
      <c r="D523" s="15"/>
      <c r="E523" s="16"/>
      <c r="F523" s="14"/>
    </row>
    <row r="524">
      <c r="A524" s="13"/>
      <c r="B524" s="14"/>
      <c r="D524" s="15"/>
      <c r="E524" s="16"/>
      <c r="F524" s="14"/>
    </row>
    <row r="525">
      <c r="A525" s="13"/>
      <c r="B525" s="14"/>
      <c r="D525" s="15"/>
      <c r="E525" s="16"/>
      <c r="F525" s="14"/>
    </row>
    <row r="526">
      <c r="A526" s="13"/>
      <c r="B526" s="14"/>
      <c r="D526" s="15"/>
      <c r="E526" s="16"/>
      <c r="F526" s="14"/>
    </row>
    <row r="527">
      <c r="A527" s="13"/>
      <c r="B527" s="14"/>
      <c r="D527" s="15"/>
      <c r="E527" s="16"/>
      <c r="F527" s="14"/>
    </row>
    <row r="528">
      <c r="A528" s="13"/>
      <c r="B528" s="14"/>
      <c r="D528" s="15"/>
      <c r="E528" s="16"/>
      <c r="F528" s="14"/>
    </row>
    <row r="529">
      <c r="A529" s="13"/>
      <c r="B529" s="14"/>
      <c r="D529" s="15"/>
      <c r="E529" s="16"/>
      <c r="F529" s="14"/>
    </row>
    <row r="530">
      <c r="A530" s="13"/>
      <c r="B530" s="14"/>
      <c r="D530" s="15"/>
      <c r="E530" s="16"/>
      <c r="F530" s="14"/>
    </row>
    <row r="531">
      <c r="A531" s="13"/>
      <c r="B531" s="14"/>
      <c r="D531" s="15"/>
      <c r="E531" s="16"/>
      <c r="F531" s="14"/>
    </row>
    <row r="532">
      <c r="A532" s="13"/>
      <c r="B532" s="14"/>
      <c r="D532" s="15"/>
      <c r="E532" s="16"/>
      <c r="F532" s="14"/>
    </row>
    <row r="533">
      <c r="A533" s="13"/>
      <c r="B533" s="14"/>
      <c r="D533" s="15"/>
      <c r="E533" s="16"/>
      <c r="F533" s="14"/>
    </row>
    <row r="534">
      <c r="A534" s="13"/>
      <c r="B534" s="14"/>
      <c r="D534" s="15"/>
      <c r="E534" s="16"/>
      <c r="F534" s="14"/>
    </row>
    <row r="535">
      <c r="A535" s="13"/>
      <c r="B535" s="14"/>
      <c r="D535" s="15"/>
      <c r="E535" s="16"/>
      <c r="F535" s="14"/>
    </row>
    <row r="536">
      <c r="A536" s="13"/>
      <c r="B536" s="14"/>
      <c r="D536" s="15"/>
      <c r="E536" s="16"/>
      <c r="F536" s="14"/>
    </row>
    <row r="537">
      <c r="A537" s="13"/>
      <c r="B537" s="14"/>
      <c r="D537" s="15"/>
      <c r="E537" s="16"/>
      <c r="F537" s="14"/>
    </row>
    <row r="538">
      <c r="A538" s="13"/>
      <c r="B538" s="14"/>
      <c r="D538" s="15"/>
      <c r="E538" s="16"/>
      <c r="F538" s="14"/>
    </row>
    <row r="539">
      <c r="A539" s="13"/>
      <c r="B539" s="14"/>
      <c r="D539" s="15"/>
      <c r="E539" s="16"/>
      <c r="F539" s="14"/>
    </row>
    <row r="540">
      <c r="A540" s="13"/>
      <c r="B540" s="14"/>
      <c r="D540" s="15"/>
      <c r="E540" s="16"/>
      <c r="F540" s="14"/>
    </row>
    <row r="541">
      <c r="A541" s="13"/>
      <c r="B541" s="14"/>
      <c r="D541" s="15"/>
      <c r="E541" s="16"/>
      <c r="F541" s="14"/>
    </row>
    <row r="542">
      <c r="A542" s="13"/>
      <c r="B542" s="14"/>
      <c r="D542" s="15"/>
      <c r="E542" s="16"/>
      <c r="F542" s="14"/>
    </row>
    <row r="543">
      <c r="A543" s="13"/>
      <c r="B543" s="14"/>
      <c r="D543" s="15"/>
      <c r="E543" s="16"/>
      <c r="F543" s="14"/>
    </row>
    <row r="544">
      <c r="A544" s="13"/>
      <c r="B544" s="14"/>
      <c r="D544" s="15"/>
      <c r="E544" s="16"/>
      <c r="F544" s="14"/>
    </row>
    <row r="545">
      <c r="A545" s="13"/>
      <c r="B545" s="14"/>
      <c r="D545" s="15"/>
      <c r="E545" s="16"/>
      <c r="F545" s="14"/>
    </row>
    <row r="546">
      <c r="A546" s="13"/>
      <c r="B546" s="14"/>
      <c r="D546" s="15"/>
      <c r="E546" s="16"/>
      <c r="F546" s="14"/>
    </row>
    <row r="547">
      <c r="A547" s="13"/>
      <c r="B547" s="14"/>
      <c r="D547" s="15"/>
      <c r="E547" s="16"/>
      <c r="F547" s="14"/>
    </row>
    <row r="548">
      <c r="A548" s="13"/>
      <c r="B548" s="14"/>
      <c r="D548" s="15"/>
      <c r="E548" s="16"/>
      <c r="F548" s="14"/>
    </row>
    <row r="549">
      <c r="A549" s="13"/>
      <c r="B549" s="14"/>
      <c r="D549" s="15"/>
      <c r="E549" s="16"/>
      <c r="F549" s="14"/>
    </row>
    <row r="550">
      <c r="A550" s="13"/>
      <c r="B550" s="14"/>
      <c r="D550" s="15"/>
      <c r="E550" s="16"/>
      <c r="F550" s="14"/>
    </row>
    <row r="551">
      <c r="A551" s="13"/>
      <c r="B551" s="14"/>
      <c r="D551" s="15"/>
      <c r="E551" s="16"/>
      <c r="F551" s="14"/>
    </row>
    <row r="552">
      <c r="A552" s="13"/>
      <c r="B552" s="14"/>
      <c r="D552" s="15"/>
      <c r="E552" s="16"/>
      <c r="F552" s="14"/>
    </row>
    <row r="553">
      <c r="A553" s="13"/>
      <c r="B553" s="14"/>
      <c r="D553" s="15"/>
      <c r="E553" s="16"/>
      <c r="F553" s="14"/>
    </row>
    <row r="554">
      <c r="A554" s="13"/>
      <c r="B554" s="14"/>
      <c r="D554" s="15"/>
      <c r="E554" s="16"/>
      <c r="F554" s="14"/>
    </row>
    <row r="555">
      <c r="A555" s="13"/>
      <c r="B555" s="14"/>
      <c r="D555" s="15"/>
      <c r="E555" s="16"/>
      <c r="F555" s="14"/>
    </row>
    <row r="556">
      <c r="A556" s="13"/>
      <c r="B556" s="14"/>
      <c r="D556" s="15"/>
      <c r="E556" s="16"/>
      <c r="F556" s="14"/>
    </row>
    <row r="557">
      <c r="A557" s="13"/>
      <c r="B557" s="14"/>
      <c r="D557" s="15"/>
      <c r="E557" s="16"/>
      <c r="F557" s="14"/>
    </row>
    <row r="558">
      <c r="A558" s="13"/>
      <c r="B558" s="14"/>
      <c r="D558" s="15"/>
      <c r="E558" s="16"/>
      <c r="F558" s="14"/>
    </row>
    <row r="559">
      <c r="A559" s="13"/>
      <c r="B559" s="14"/>
      <c r="D559" s="15"/>
      <c r="E559" s="16"/>
      <c r="F559" s="14"/>
    </row>
    <row r="560">
      <c r="A560" s="13"/>
      <c r="B560" s="14"/>
      <c r="D560" s="15"/>
      <c r="E560" s="16"/>
      <c r="F560" s="14"/>
    </row>
    <row r="561">
      <c r="A561" s="13"/>
      <c r="B561" s="14"/>
      <c r="D561" s="15"/>
      <c r="E561" s="16"/>
      <c r="F561" s="14"/>
    </row>
    <row r="562">
      <c r="A562" s="13"/>
      <c r="B562" s="14"/>
      <c r="D562" s="15"/>
      <c r="E562" s="16"/>
      <c r="F562" s="14"/>
    </row>
    <row r="563">
      <c r="A563" s="13"/>
      <c r="B563" s="14"/>
      <c r="D563" s="15"/>
      <c r="E563" s="16"/>
      <c r="F563" s="14"/>
    </row>
    <row r="564">
      <c r="A564" s="13"/>
      <c r="B564" s="14"/>
      <c r="D564" s="15"/>
      <c r="E564" s="16"/>
      <c r="F564" s="14"/>
    </row>
    <row r="565">
      <c r="A565" s="13"/>
      <c r="B565" s="14"/>
      <c r="D565" s="15"/>
      <c r="E565" s="16"/>
      <c r="F565" s="14"/>
    </row>
    <row r="566">
      <c r="A566" s="13"/>
      <c r="B566" s="14"/>
      <c r="D566" s="15"/>
      <c r="E566" s="16"/>
      <c r="F566" s="14"/>
    </row>
    <row r="567">
      <c r="A567" s="13"/>
      <c r="B567" s="14"/>
      <c r="D567" s="15"/>
      <c r="E567" s="16"/>
      <c r="F567" s="14"/>
    </row>
    <row r="568">
      <c r="A568" s="13"/>
      <c r="B568" s="14"/>
      <c r="D568" s="15"/>
      <c r="E568" s="16"/>
      <c r="F568" s="14"/>
    </row>
    <row r="569">
      <c r="A569" s="13"/>
      <c r="B569" s="14"/>
      <c r="D569" s="15"/>
      <c r="E569" s="16"/>
      <c r="F569" s="14"/>
    </row>
    <row r="570">
      <c r="A570" s="13"/>
      <c r="B570" s="14"/>
      <c r="D570" s="15"/>
      <c r="E570" s="16"/>
      <c r="F570" s="14"/>
    </row>
    <row r="571">
      <c r="A571" s="13"/>
      <c r="B571" s="14"/>
      <c r="D571" s="15"/>
      <c r="E571" s="16"/>
      <c r="F571" s="14"/>
    </row>
    <row r="572">
      <c r="A572" s="13"/>
      <c r="B572" s="14"/>
      <c r="D572" s="15"/>
      <c r="E572" s="16"/>
      <c r="F572" s="14"/>
    </row>
    <row r="573">
      <c r="A573" s="13"/>
      <c r="B573" s="14"/>
      <c r="D573" s="15"/>
      <c r="E573" s="16"/>
      <c r="F573" s="14"/>
    </row>
    <row r="574">
      <c r="A574" s="13"/>
      <c r="B574" s="14"/>
      <c r="D574" s="15"/>
      <c r="E574" s="16"/>
      <c r="F574" s="14"/>
    </row>
    <row r="575">
      <c r="A575" s="13"/>
      <c r="B575" s="14"/>
      <c r="D575" s="15"/>
      <c r="E575" s="16"/>
      <c r="F575" s="14"/>
    </row>
    <row r="576">
      <c r="A576" s="13"/>
      <c r="B576" s="14"/>
      <c r="D576" s="15"/>
      <c r="E576" s="16"/>
      <c r="F576" s="14"/>
    </row>
    <row r="577">
      <c r="A577" s="13"/>
      <c r="B577" s="14"/>
      <c r="D577" s="15"/>
      <c r="E577" s="16"/>
      <c r="F577" s="14"/>
    </row>
    <row r="578">
      <c r="A578" s="13"/>
      <c r="B578" s="14"/>
      <c r="D578" s="15"/>
      <c r="E578" s="16"/>
      <c r="F578" s="14"/>
    </row>
    <row r="579">
      <c r="A579" s="13"/>
      <c r="B579" s="14"/>
      <c r="D579" s="15"/>
      <c r="E579" s="16"/>
      <c r="F579" s="14"/>
    </row>
    <row r="580">
      <c r="A580" s="13"/>
      <c r="B580" s="14"/>
      <c r="D580" s="15"/>
      <c r="E580" s="16"/>
      <c r="F580" s="14"/>
    </row>
    <row r="581">
      <c r="A581" s="13"/>
      <c r="B581" s="14"/>
      <c r="D581" s="15"/>
      <c r="E581" s="16"/>
      <c r="F581" s="14"/>
    </row>
    <row r="582">
      <c r="A582" s="13"/>
      <c r="B582" s="14"/>
      <c r="D582" s="15"/>
      <c r="E582" s="16"/>
      <c r="F582" s="14"/>
    </row>
    <row r="583">
      <c r="A583" s="13"/>
      <c r="B583" s="14"/>
      <c r="D583" s="15"/>
      <c r="E583" s="16"/>
      <c r="F583" s="14"/>
    </row>
    <row r="584">
      <c r="A584" s="13"/>
      <c r="B584" s="14"/>
      <c r="D584" s="15"/>
      <c r="E584" s="16"/>
      <c r="F584" s="14"/>
    </row>
    <row r="585">
      <c r="A585" s="13"/>
      <c r="B585" s="14"/>
      <c r="D585" s="15"/>
      <c r="E585" s="16"/>
      <c r="F585" s="14"/>
    </row>
    <row r="586">
      <c r="A586" s="13"/>
      <c r="B586" s="14"/>
      <c r="D586" s="15"/>
      <c r="E586" s="16"/>
      <c r="F586" s="14"/>
    </row>
    <row r="587">
      <c r="A587" s="13"/>
      <c r="B587" s="14"/>
      <c r="D587" s="15"/>
      <c r="E587" s="16"/>
      <c r="F587" s="14"/>
    </row>
    <row r="588">
      <c r="A588" s="13"/>
      <c r="B588" s="14"/>
      <c r="D588" s="15"/>
      <c r="E588" s="16"/>
      <c r="F588" s="14"/>
    </row>
    <row r="589">
      <c r="A589" s="13"/>
      <c r="B589" s="14"/>
      <c r="D589" s="15"/>
      <c r="E589" s="16"/>
      <c r="F589" s="14"/>
    </row>
    <row r="590">
      <c r="A590" s="13"/>
      <c r="B590" s="14"/>
      <c r="D590" s="15"/>
      <c r="E590" s="16"/>
      <c r="F590" s="14"/>
    </row>
    <row r="591">
      <c r="A591" s="13"/>
      <c r="B591" s="14"/>
      <c r="D591" s="15"/>
      <c r="E591" s="16"/>
      <c r="F591" s="14"/>
    </row>
    <row r="592">
      <c r="A592" s="13"/>
      <c r="B592" s="14"/>
      <c r="D592" s="15"/>
      <c r="E592" s="16"/>
      <c r="F592" s="14"/>
    </row>
    <row r="593">
      <c r="A593" s="13"/>
      <c r="B593" s="14"/>
      <c r="D593" s="15"/>
      <c r="E593" s="16"/>
      <c r="F593" s="14"/>
    </row>
    <row r="594">
      <c r="A594" s="13"/>
      <c r="B594" s="14"/>
      <c r="D594" s="15"/>
      <c r="E594" s="16"/>
      <c r="F594" s="14"/>
    </row>
    <row r="595">
      <c r="A595" s="13"/>
      <c r="B595" s="14"/>
      <c r="D595" s="15"/>
      <c r="E595" s="16"/>
      <c r="F595" s="14"/>
    </row>
    <row r="596">
      <c r="A596" s="13"/>
      <c r="B596" s="14"/>
      <c r="D596" s="15"/>
      <c r="E596" s="16"/>
      <c r="F596" s="14"/>
    </row>
    <row r="597">
      <c r="A597" s="13"/>
      <c r="B597" s="14"/>
      <c r="D597" s="15"/>
      <c r="E597" s="16"/>
      <c r="F597" s="14"/>
    </row>
    <row r="598">
      <c r="A598" s="13"/>
      <c r="B598" s="14"/>
      <c r="D598" s="15"/>
      <c r="E598" s="16"/>
      <c r="F598" s="14"/>
    </row>
    <row r="599">
      <c r="A599" s="13"/>
      <c r="B599" s="14"/>
      <c r="D599" s="15"/>
      <c r="E599" s="16"/>
      <c r="F599" s="14"/>
    </row>
    <row r="600">
      <c r="A600" s="13"/>
      <c r="B600" s="14"/>
      <c r="D600" s="15"/>
      <c r="E600" s="16"/>
      <c r="F600" s="14"/>
    </row>
    <row r="601">
      <c r="A601" s="13"/>
      <c r="B601" s="14"/>
      <c r="D601" s="15"/>
      <c r="E601" s="16"/>
      <c r="F601" s="14"/>
    </row>
    <row r="602">
      <c r="A602" s="13"/>
      <c r="B602" s="14"/>
      <c r="D602" s="15"/>
      <c r="E602" s="16"/>
      <c r="F602" s="14"/>
    </row>
    <row r="603">
      <c r="A603" s="13"/>
      <c r="B603" s="14"/>
      <c r="D603" s="15"/>
      <c r="E603" s="16"/>
      <c r="F603" s="14"/>
    </row>
    <row r="604">
      <c r="A604" s="13"/>
      <c r="B604" s="14"/>
      <c r="D604" s="15"/>
      <c r="E604" s="16"/>
      <c r="F604" s="14"/>
    </row>
    <row r="605">
      <c r="A605" s="13"/>
      <c r="B605" s="14"/>
      <c r="D605" s="15"/>
      <c r="E605" s="16"/>
      <c r="F605" s="14"/>
    </row>
    <row r="606">
      <c r="A606" s="13"/>
      <c r="B606" s="14"/>
      <c r="D606" s="15"/>
      <c r="E606" s="16"/>
      <c r="F606" s="14"/>
    </row>
    <row r="607">
      <c r="A607" s="13"/>
      <c r="B607" s="14"/>
      <c r="D607" s="15"/>
      <c r="E607" s="16"/>
      <c r="F607" s="14"/>
    </row>
    <row r="608">
      <c r="A608" s="13"/>
      <c r="B608" s="14"/>
      <c r="D608" s="15"/>
      <c r="E608" s="16"/>
      <c r="F608" s="14"/>
    </row>
    <row r="609">
      <c r="A609" s="13"/>
      <c r="B609" s="14"/>
      <c r="D609" s="15"/>
      <c r="E609" s="16"/>
      <c r="F609" s="14"/>
    </row>
    <row r="610">
      <c r="A610" s="13"/>
      <c r="B610" s="14"/>
      <c r="D610" s="15"/>
      <c r="E610" s="16"/>
      <c r="F610" s="14"/>
    </row>
    <row r="611">
      <c r="A611" s="13"/>
      <c r="B611" s="14"/>
      <c r="D611" s="15"/>
      <c r="E611" s="16"/>
      <c r="F611" s="14"/>
    </row>
    <row r="612">
      <c r="A612" s="13"/>
      <c r="B612" s="14"/>
      <c r="D612" s="15"/>
      <c r="E612" s="16"/>
      <c r="F612" s="14"/>
    </row>
    <row r="613">
      <c r="A613" s="13"/>
      <c r="B613" s="14"/>
      <c r="D613" s="15"/>
      <c r="E613" s="16"/>
      <c r="F613" s="14"/>
    </row>
    <row r="614">
      <c r="A614" s="13"/>
      <c r="B614" s="14"/>
      <c r="D614" s="15"/>
      <c r="E614" s="16"/>
      <c r="F614" s="14"/>
    </row>
    <row r="615">
      <c r="A615" s="13"/>
      <c r="B615" s="14"/>
      <c r="D615" s="15"/>
      <c r="E615" s="16"/>
      <c r="F615" s="14"/>
    </row>
    <row r="616">
      <c r="A616" s="13"/>
      <c r="B616" s="14"/>
      <c r="D616" s="15"/>
      <c r="E616" s="16"/>
      <c r="F616" s="14"/>
    </row>
    <row r="617">
      <c r="A617" s="13"/>
      <c r="B617" s="14"/>
      <c r="D617" s="15"/>
      <c r="E617" s="16"/>
      <c r="F617" s="14"/>
    </row>
    <row r="618">
      <c r="A618" s="13"/>
      <c r="B618" s="14"/>
      <c r="D618" s="15"/>
      <c r="E618" s="16"/>
      <c r="F618" s="14"/>
    </row>
    <row r="619">
      <c r="A619" s="13"/>
      <c r="B619" s="14"/>
      <c r="D619" s="15"/>
      <c r="E619" s="16"/>
      <c r="F619" s="14"/>
    </row>
    <row r="620">
      <c r="A620" s="13"/>
      <c r="B620" s="14"/>
      <c r="D620" s="15"/>
      <c r="E620" s="16"/>
      <c r="F620" s="14"/>
    </row>
    <row r="621">
      <c r="A621" s="13"/>
      <c r="B621" s="14"/>
      <c r="D621" s="15"/>
      <c r="E621" s="16"/>
      <c r="F621" s="14"/>
    </row>
    <row r="622">
      <c r="A622" s="13"/>
      <c r="B622" s="14"/>
      <c r="D622" s="15"/>
      <c r="E622" s="16"/>
      <c r="F622" s="14"/>
    </row>
    <row r="623">
      <c r="A623" s="13"/>
      <c r="B623" s="14"/>
      <c r="D623" s="15"/>
      <c r="E623" s="16"/>
      <c r="F623" s="14"/>
    </row>
    <row r="624">
      <c r="A624" s="13"/>
      <c r="B624" s="14"/>
      <c r="D624" s="15"/>
      <c r="E624" s="16"/>
      <c r="F624" s="14"/>
    </row>
    <row r="625">
      <c r="A625" s="13"/>
      <c r="B625" s="14"/>
      <c r="D625" s="15"/>
      <c r="E625" s="16"/>
      <c r="F625" s="14"/>
    </row>
    <row r="626">
      <c r="A626" s="13"/>
      <c r="B626" s="14"/>
      <c r="D626" s="15"/>
      <c r="E626" s="16"/>
      <c r="F626" s="14"/>
    </row>
    <row r="627">
      <c r="A627" s="13"/>
      <c r="B627" s="14"/>
      <c r="D627" s="15"/>
      <c r="E627" s="16"/>
      <c r="F627" s="14"/>
    </row>
    <row r="628">
      <c r="A628" s="13"/>
      <c r="B628" s="14"/>
      <c r="D628" s="15"/>
      <c r="E628" s="16"/>
      <c r="F628" s="14"/>
    </row>
    <row r="629">
      <c r="A629" s="13"/>
      <c r="B629" s="14"/>
      <c r="D629" s="15"/>
      <c r="E629" s="16"/>
      <c r="F629" s="14"/>
    </row>
    <row r="630">
      <c r="A630" s="13"/>
      <c r="B630" s="14"/>
      <c r="D630" s="15"/>
      <c r="E630" s="16"/>
      <c r="F630" s="14"/>
    </row>
    <row r="631">
      <c r="A631" s="13"/>
      <c r="B631" s="14"/>
      <c r="D631" s="15"/>
      <c r="E631" s="16"/>
      <c r="F631" s="14"/>
    </row>
    <row r="632">
      <c r="A632" s="13"/>
      <c r="B632" s="14"/>
      <c r="D632" s="15"/>
      <c r="E632" s="16"/>
      <c r="F632" s="14"/>
    </row>
    <row r="633">
      <c r="A633" s="13"/>
      <c r="B633" s="14"/>
      <c r="D633" s="15"/>
      <c r="E633" s="16"/>
      <c r="F633" s="14"/>
    </row>
    <row r="634">
      <c r="A634" s="13"/>
      <c r="B634" s="14"/>
      <c r="D634" s="15"/>
      <c r="E634" s="16"/>
      <c r="F634" s="14"/>
    </row>
    <row r="635">
      <c r="A635" s="13"/>
      <c r="B635" s="14"/>
      <c r="D635" s="15"/>
      <c r="E635" s="16"/>
      <c r="F635" s="14"/>
    </row>
    <row r="636">
      <c r="A636" s="13"/>
      <c r="B636" s="14"/>
      <c r="D636" s="15"/>
      <c r="E636" s="16"/>
      <c r="F636" s="14"/>
    </row>
    <row r="637">
      <c r="A637" s="13"/>
      <c r="B637" s="14"/>
      <c r="D637" s="15"/>
      <c r="E637" s="16"/>
      <c r="F637" s="14"/>
    </row>
    <row r="638">
      <c r="A638" s="13"/>
      <c r="B638" s="14"/>
      <c r="D638" s="15"/>
      <c r="E638" s="16"/>
      <c r="F638" s="14"/>
    </row>
    <row r="639">
      <c r="A639" s="13"/>
      <c r="B639" s="14"/>
      <c r="D639" s="15"/>
      <c r="E639" s="16"/>
      <c r="F639" s="14"/>
    </row>
    <row r="640">
      <c r="A640" s="13"/>
      <c r="B640" s="14"/>
      <c r="D640" s="15"/>
      <c r="E640" s="16"/>
      <c r="F640" s="14"/>
    </row>
    <row r="641">
      <c r="A641" s="13"/>
      <c r="B641" s="14"/>
      <c r="D641" s="15"/>
      <c r="E641" s="16"/>
      <c r="F641" s="14"/>
    </row>
    <row r="642">
      <c r="A642" s="13"/>
      <c r="B642" s="14"/>
      <c r="D642" s="15"/>
      <c r="E642" s="16"/>
      <c r="F642" s="14"/>
    </row>
    <row r="643">
      <c r="A643" s="13"/>
      <c r="B643" s="14"/>
      <c r="D643" s="15"/>
      <c r="E643" s="16"/>
      <c r="F643" s="14"/>
    </row>
    <row r="644">
      <c r="A644" s="13"/>
      <c r="B644" s="14"/>
      <c r="D644" s="15"/>
      <c r="E644" s="16"/>
      <c r="F644" s="14"/>
    </row>
    <row r="645">
      <c r="A645" s="13"/>
      <c r="B645" s="14"/>
      <c r="D645" s="15"/>
      <c r="E645" s="16"/>
      <c r="F645" s="14"/>
    </row>
    <row r="646">
      <c r="A646" s="13"/>
      <c r="B646" s="14"/>
      <c r="D646" s="15"/>
      <c r="E646" s="16"/>
      <c r="F646" s="14"/>
    </row>
    <row r="647">
      <c r="A647" s="13"/>
      <c r="B647" s="14"/>
      <c r="D647" s="15"/>
      <c r="E647" s="16"/>
      <c r="F647" s="14"/>
    </row>
    <row r="648">
      <c r="A648" s="13"/>
      <c r="B648" s="14"/>
      <c r="D648" s="15"/>
      <c r="E648" s="16"/>
      <c r="F648" s="14"/>
    </row>
    <row r="649">
      <c r="A649" s="13"/>
      <c r="B649" s="14"/>
      <c r="D649" s="15"/>
      <c r="E649" s="16"/>
      <c r="F649" s="14"/>
    </row>
    <row r="650">
      <c r="A650" s="13"/>
      <c r="B650" s="14"/>
      <c r="D650" s="15"/>
      <c r="E650" s="16"/>
      <c r="F650" s="14"/>
    </row>
    <row r="651">
      <c r="A651" s="13"/>
      <c r="B651" s="14"/>
      <c r="D651" s="15"/>
      <c r="E651" s="16"/>
      <c r="F651" s="14"/>
    </row>
    <row r="652">
      <c r="A652" s="13"/>
      <c r="B652" s="14"/>
      <c r="D652" s="15"/>
      <c r="E652" s="16"/>
      <c r="F652" s="14"/>
    </row>
    <row r="653">
      <c r="A653" s="13"/>
      <c r="B653" s="14"/>
      <c r="D653" s="15"/>
      <c r="E653" s="16"/>
      <c r="F653" s="14"/>
    </row>
    <row r="654">
      <c r="A654" s="13"/>
      <c r="B654" s="14"/>
      <c r="D654" s="15"/>
      <c r="E654" s="16"/>
      <c r="F654" s="14"/>
    </row>
    <row r="655">
      <c r="A655" s="13"/>
      <c r="B655" s="14"/>
      <c r="D655" s="15"/>
      <c r="E655" s="16"/>
      <c r="F655" s="14"/>
    </row>
    <row r="656">
      <c r="A656" s="13"/>
      <c r="B656" s="14"/>
      <c r="D656" s="15"/>
      <c r="E656" s="16"/>
      <c r="F656" s="14"/>
    </row>
    <row r="657">
      <c r="A657" s="13"/>
      <c r="B657" s="14"/>
      <c r="D657" s="15"/>
      <c r="E657" s="16"/>
      <c r="F657" s="14"/>
    </row>
    <row r="658">
      <c r="A658" s="13"/>
      <c r="B658" s="14"/>
      <c r="D658" s="15"/>
      <c r="E658" s="16"/>
      <c r="F658" s="14"/>
    </row>
    <row r="659">
      <c r="A659" s="13"/>
      <c r="B659" s="14"/>
      <c r="D659" s="15"/>
      <c r="E659" s="16"/>
      <c r="F659" s="14"/>
    </row>
    <row r="660">
      <c r="A660" s="13"/>
      <c r="B660" s="14"/>
      <c r="D660" s="15"/>
      <c r="E660" s="16"/>
      <c r="F660" s="14"/>
    </row>
    <row r="661">
      <c r="A661" s="13"/>
      <c r="B661" s="14"/>
      <c r="D661" s="15"/>
      <c r="E661" s="16"/>
      <c r="F661" s="14"/>
    </row>
    <row r="662">
      <c r="A662" s="13"/>
      <c r="B662" s="14"/>
      <c r="D662" s="15"/>
      <c r="E662" s="16"/>
      <c r="F662" s="14"/>
    </row>
    <row r="663">
      <c r="A663" s="13"/>
      <c r="B663" s="14"/>
      <c r="D663" s="15"/>
      <c r="E663" s="16"/>
      <c r="F663" s="14"/>
    </row>
    <row r="664">
      <c r="A664" s="13"/>
      <c r="B664" s="14"/>
      <c r="D664" s="15"/>
      <c r="E664" s="16"/>
      <c r="F664" s="14"/>
    </row>
    <row r="665">
      <c r="A665" s="13"/>
      <c r="B665" s="14"/>
      <c r="D665" s="15"/>
      <c r="E665" s="16"/>
      <c r="F665" s="14"/>
    </row>
    <row r="666">
      <c r="A666" s="13"/>
      <c r="B666" s="14"/>
      <c r="D666" s="15"/>
      <c r="E666" s="16"/>
      <c r="F666" s="14"/>
    </row>
    <row r="667">
      <c r="A667" s="13"/>
      <c r="B667" s="14"/>
      <c r="D667" s="15"/>
      <c r="E667" s="16"/>
      <c r="F667" s="14"/>
    </row>
    <row r="668">
      <c r="A668" s="13"/>
      <c r="B668" s="14"/>
      <c r="D668" s="15"/>
      <c r="E668" s="16"/>
      <c r="F668" s="14"/>
    </row>
    <row r="669">
      <c r="A669" s="13"/>
      <c r="B669" s="14"/>
      <c r="D669" s="15"/>
      <c r="E669" s="16"/>
      <c r="F669" s="14"/>
    </row>
    <row r="670">
      <c r="A670" s="13"/>
      <c r="B670" s="14"/>
      <c r="D670" s="15"/>
      <c r="E670" s="16"/>
      <c r="F670" s="14"/>
    </row>
    <row r="671">
      <c r="A671" s="13"/>
      <c r="B671" s="14"/>
      <c r="D671" s="15"/>
      <c r="E671" s="16"/>
      <c r="F671" s="14"/>
    </row>
    <row r="672">
      <c r="A672" s="13"/>
      <c r="B672" s="14"/>
      <c r="D672" s="15"/>
      <c r="E672" s="16"/>
      <c r="F672" s="14"/>
    </row>
    <row r="673">
      <c r="A673" s="13"/>
      <c r="B673" s="14"/>
      <c r="D673" s="15"/>
      <c r="E673" s="16"/>
      <c r="F673" s="14"/>
    </row>
    <row r="674">
      <c r="A674" s="13"/>
      <c r="B674" s="14"/>
      <c r="D674" s="15"/>
      <c r="E674" s="16"/>
      <c r="F674" s="14"/>
    </row>
    <row r="675">
      <c r="A675" s="13"/>
      <c r="B675" s="14"/>
      <c r="D675" s="15"/>
      <c r="E675" s="16"/>
      <c r="F675" s="14"/>
    </row>
    <row r="676">
      <c r="A676" s="13"/>
      <c r="B676" s="14"/>
      <c r="D676" s="15"/>
      <c r="E676" s="16"/>
      <c r="F676" s="14"/>
    </row>
    <row r="677">
      <c r="A677" s="13"/>
      <c r="B677" s="14"/>
      <c r="D677" s="15"/>
      <c r="E677" s="16"/>
      <c r="F677" s="14"/>
    </row>
    <row r="678">
      <c r="A678" s="13"/>
      <c r="B678" s="14"/>
      <c r="D678" s="15"/>
      <c r="E678" s="16"/>
      <c r="F678" s="14"/>
    </row>
    <row r="679">
      <c r="A679" s="13"/>
      <c r="B679" s="14"/>
      <c r="D679" s="15"/>
      <c r="E679" s="16"/>
      <c r="F679" s="14"/>
    </row>
    <row r="680">
      <c r="A680" s="13"/>
      <c r="B680" s="14"/>
      <c r="D680" s="15"/>
      <c r="E680" s="16"/>
      <c r="F680" s="14"/>
    </row>
    <row r="681">
      <c r="A681" s="13"/>
      <c r="B681" s="14"/>
      <c r="D681" s="15"/>
      <c r="E681" s="16"/>
      <c r="F681" s="14"/>
    </row>
    <row r="682">
      <c r="A682" s="13"/>
      <c r="B682" s="14"/>
      <c r="D682" s="15"/>
      <c r="E682" s="16"/>
      <c r="F682" s="14"/>
    </row>
    <row r="683">
      <c r="A683" s="13"/>
      <c r="B683" s="14"/>
      <c r="D683" s="15"/>
      <c r="E683" s="16"/>
      <c r="F683" s="14"/>
    </row>
    <row r="684">
      <c r="A684" s="13"/>
      <c r="B684" s="14"/>
      <c r="D684" s="15"/>
      <c r="E684" s="16"/>
      <c r="F684" s="14"/>
    </row>
    <row r="685">
      <c r="A685" s="13"/>
      <c r="B685" s="14"/>
      <c r="D685" s="15"/>
      <c r="E685" s="16"/>
      <c r="F685" s="14"/>
    </row>
    <row r="686">
      <c r="A686" s="13"/>
      <c r="B686" s="14"/>
      <c r="D686" s="15"/>
      <c r="E686" s="16"/>
      <c r="F686" s="14"/>
    </row>
    <row r="687">
      <c r="A687" s="13"/>
      <c r="B687" s="14"/>
      <c r="D687" s="15"/>
      <c r="E687" s="16"/>
      <c r="F687" s="14"/>
    </row>
    <row r="688">
      <c r="A688" s="13"/>
      <c r="B688" s="14"/>
      <c r="D688" s="15"/>
      <c r="E688" s="16"/>
      <c r="F688" s="14"/>
    </row>
    <row r="689">
      <c r="A689" s="13"/>
      <c r="B689" s="14"/>
      <c r="D689" s="15"/>
      <c r="E689" s="16"/>
      <c r="F689" s="14"/>
    </row>
    <row r="690">
      <c r="A690" s="13"/>
      <c r="B690" s="14"/>
      <c r="D690" s="15"/>
      <c r="E690" s="16"/>
      <c r="F690" s="14"/>
    </row>
    <row r="691">
      <c r="A691" s="13"/>
      <c r="B691" s="14"/>
      <c r="D691" s="15"/>
      <c r="E691" s="16"/>
      <c r="F691" s="14"/>
    </row>
    <row r="692">
      <c r="A692" s="13"/>
      <c r="B692" s="14"/>
      <c r="D692" s="15"/>
      <c r="E692" s="16"/>
      <c r="F692" s="14"/>
    </row>
    <row r="693">
      <c r="A693" s="13"/>
      <c r="B693" s="14"/>
      <c r="D693" s="15"/>
      <c r="E693" s="16"/>
      <c r="F693" s="14"/>
    </row>
    <row r="694">
      <c r="A694" s="13"/>
      <c r="B694" s="14"/>
      <c r="D694" s="15"/>
      <c r="E694" s="16"/>
      <c r="F694" s="14"/>
    </row>
    <row r="695">
      <c r="A695" s="13"/>
      <c r="B695" s="14"/>
      <c r="D695" s="15"/>
      <c r="E695" s="16"/>
      <c r="F695" s="14"/>
    </row>
    <row r="696">
      <c r="A696" s="13"/>
      <c r="B696" s="14"/>
      <c r="D696" s="15"/>
      <c r="E696" s="16"/>
      <c r="F696" s="14"/>
    </row>
    <row r="697">
      <c r="A697" s="13"/>
      <c r="B697" s="14"/>
      <c r="D697" s="15"/>
      <c r="E697" s="16"/>
      <c r="F697" s="14"/>
    </row>
    <row r="698">
      <c r="A698" s="13"/>
      <c r="B698" s="14"/>
      <c r="D698" s="15"/>
      <c r="E698" s="16"/>
      <c r="F698" s="14"/>
    </row>
    <row r="699">
      <c r="A699" s="13"/>
      <c r="B699" s="14"/>
      <c r="D699" s="15"/>
      <c r="E699" s="16"/>
      <c r="F699" s="14"/>
    </row>
    <row r="700">
      <c r="A700" s="13"/>
      <c r="B700" s="14"/>
      <c r="D700" s="15"/>
      <c r="E700" s="16"/>
      <c r="F700" s="14"/>
    </row>
    <row r="701">
      <c r="A701" s="13"/>
      <c r="B701" s="14"/>
      <c r="D701" s="15"/>
      <c r="E701" s="16"/>
      <c r="F701" s="14"/>
    </row>
    <row r="702">
      <c r="A702" s="13"/>
      <c r="B702" s="14"/>
      <c r="D702" s="15"/>
      <c r="E702" s="16"/>
      <c r="F702" s="14"/>
    </row>
    <row r="703">
      <c r="A703" s="13"/>
      <c r="B703" s="14"/>
      <c r="D703" s="15"/>
      <c r="E703" s="16"/>
      <c r="F703" s="14"/>
    </row>
    <row r="704">
      <c r="A704" s="13"/>
      <c r="B704" s="14"/>
      <c r="D704" s="15"/>
      <c r="E704" s="16"/>
      <c r="F704" s="14"/>
    </row>
    <row r="705">
      <c r="A705" s="13"/>
      <c r="B705" s="14"/>
      <c r="D705" s="15"/>
      <c r="E705" s="16"/>
      <c r="F705" s="14"/>
    </row>
    <row r="706">
      <c r="A706" s="13"/>
      <c r="B706" s="14"/>
      <c r="D706" s="15"/>
      <c r="E706" s="16"/>
      <c r="F706" s="14"/>
    </row>
    <row r="707">
      <c r="A707" s="13"/>
      <c r="B707" s="14"/>
      <c r="D707" s="15"/>
      <c r="E707" s="16"/>
      <c r="F707" s="14"/>
    </row>
    <row r="708">
      <c r="A708" s="13"/>
      <c r="B708" s="14"/>
      <c r="D708" s="15"/>
      <c r="E708" s="16"/>
      <c r="F708" s="14"/>
    </row>
    <row r="709">
      <c r="A709" s="13"/>
      <c r="B709" s="14"/>
      <c r="D709" s="15"/>
      <c r="E709" s="16"/>
      <c r="F709" s="14"/>
    </row>
    <row r="710">
      <c r="A710" s="13"/>
      <c r="B710" s="14"/>
      <c r="D710" s="15"/>
      <c r="E710" s="16"/>
      <c r="F710" s="14"/>
    </row>
    <row r="711">
      <c r="A711" s="13"/>
      <c r="B711" s="14"/>
      <c r="D711" s="15"/>
      <c r="E711" s="16"/>
      <c r="F711" s="14"/>
    </row>
    <row r="712">
      <c r="A712" s="13"/>
      <c r="B712" s="14"/>
      <c r="D712" s="15"/>
      <c r="E712" s="16"/>
      <c r="F712" s="14"/>
    </row>
    <row r="713">
      <c r="A713" s="13"/>
      <c r="B713" s="14"/>
      <c r="D713" s="15"/>
      <c r="E713" s="16"/>
      <c r="F713" s="14"/>
    </row>
    <row r="714">
      <c r="A714" s="13"/>
      <c r="B714" s="14"/>
      <c r="D714" s="15"/>
      <c r="E714" s="16"/>
      <c r="F714" s="14"/>
    </row>
    <row r="715">
      <c r="A715" s="13"/>
      <c r="B715" s="14"/>
      <c r="D715" s="15"/>
      <c r="E715" s="16"/>
      <c r="F715" s="14"/>
    </row>
    <row r="716">
      <c r="A716" s="13"/>
      <c r="B716" s="14"/>
      <c r="D716" s="15"/>
      <c r="E716" s="16"/>
      <c r="F716" s="14"/>
    </row>
    <row r="717">
      <c r="A717" s="13"/>
      <c r="B717" s="14"/>
      <c r="D717" s="15"/>
      <c r="E717" s="16"/>
      <c r="F717" s="14"/>
    </row>
    <row r="718">
      <c r="A718" s="13"/>
      <c r="B718" s="14"/>
      <c r="D718" s="15"/>
      <c r="E718" s="16"/>
      <c r="F718" s="14"/>
    </row>
    <row r="719">
      <c r="A719" s="13"/>
      <c r="B719" s="14"/>
      <c r="D719" s="15"/>
      <c r="E719" s="16"/>
      <c r="F719" s="14"/>
    </row>
    <row r="720">
      <c r="A720" s="13"/>
      <c r="B720" s="14"/>
      <c r="D720" s="15"/>
      <c r="E720" s="16"/>
      <c r="F720" s="14"/>
    </row>
    <row r="721">
      <c r="A721" s="13"/>
      <c r="B721" s="14"/>
      <c r="D721" s="15"/>
      <c r="E721" s="16"/>
      <c r="F721" s="14"/>
    </row>
    <row r="722">
      <c r="A722" s="13"/>
      <c r="B722" s="14"/>
      <c r="D722" s="15"/>
      <c r="E722" s="16"/>
      <c r="F722" s="14"/>
    </row>
    <row r="723">
      <c r="A723" s="13"/>
      <c r="B723" s="14"/>
      <c r="D723" s="15"/>
      <c r="E723" s="16"/>
      <c r="F723" s="14"/>
    </row>
    <row r="724">
      <c r="A724" s="13"/>
      <c r="B724" s="14"/>
      <c r="D724" s="15"/>
      <c r="E724" s="16"/>
      <c r="F724" s="14"/>
    </row>
    <row r="725">
      <c r="A725" s="13"/>
      <c r="B725" s="14"/>
      <c r="D725" s="15"/>
      <c r="E725" s="16"/>
      <c r="F725" s="14"/>
    </row>
    <row r="726">
      <c r="A726" s="13"/>
      <c r="B726" s="14"/>
      <c r="D726" s="15"/>
      <c r="E726" s="16"/>
      <c r="F726" s="14"/>
    </row>
    <row r="727">
      <c r="A727" s="13"/>
      <c r="B727" s="14"/>
      <c r="D727" s="15"/>
      <c r="E727" s="16"/>
      <c r="F727" s="14"/>
    </row>
    <row r="728">
      <c r="A728" s="13"/>
      <c r="B728" s="14"/>
      <c r="D728" s="15"/>
      <c r="E728" s="16"/>
      <c r="F728" s="14"/>
    </row>
    <row r="729">
      <c r="A729" s="13"/>
      <c r="B729" s="14"/>
      <c r="D729" s="15"/>
      <c r="E729" s="16"/>
      <c r="F729" s="14"/>
    </row>
    <row r="730">
      <c r="A730" s="13"/>
      <c r="B730" s="14"/>
      <c r="D730" s="15"/>
      <c r="E730" s="16"/>
      <c r="F730" s="14"/>
    </row>
    <row r="731">
      <c r="A731" s="13"/>
      <c r="B731" s="14"/>
      <c r="D731" s="15"/>
      <c r="E731" s="16"/>
      <c r="F731" s="14"/>
    </row>
    <row r="732">
      <c r="A732" s="13"/>
      <c r="B732" s="14"/>
      <c r="D732" s="15"/>
      <c r="E732" s="16"/>
      <c r="F732" s="14"/>
    </row>
    <row r="733">
      <c r="A733" s="13"/>
      <c r="B733" s="14"/>
      <c r="D733" s="15"/>
      <c r="E733" s="16"/>
      <c r="F733" s="14"/>
    </row>
    <row r="734">
      <c r="A734" s="13"/>
      <c r="B734" s="14"/>
      <c r="D734" s="15"/>
      <c r="E734" s="16"/>
      <c r="F734" s="14"/>
    </row>
    <row r="735">
      <c r="A735" s="13"/>
      <c r="B735" s="14"/>
      <c r="D735" s="15"/>
      <c r="E735" s="16"/>
      <c r="F735" s="14"/>
    </row>
    <row r="736">
      <c r="A736" s="13"/>
      <c r="B736" s="14"/>
      <c r="D736" s="15"/>
      <c r="E736" s="16"/>
      <c r="F736" s="14"/>
    </row>
    <row r="737">
      <c r="A737" s="13"/>
      <c r="B737" s="14"/>
      <c r="D737" s="15"/>
      <c r="E737" s="16"/>
      <c r="F737" s="14"/>
    </row>
    <row r="738">
      <c r="A738" s="13"/>
      <c r="B738" s="14"/>
      <c r="D738" s="15"/>
      <c r="E738" s="16"/>
      <c r="F738" s="14"/>
    </row>
    <row r="739">
      <c r="A739" s="13"/>
      <c r="B739" s="14"/>
      <c r="D739" s="15"/>
      <c r="E739" s="16"/>
      <c r="F739" s="14"/>
    </row>
    <row r="740">
      <c r="A740" s="13"/>
      <c r="B740" s="14"/>
      <c r="D740" s="15"/>
      <c r="E740" s="16"/>
      <c r="F740" s="14"/>
    </row>
    <row r="741">
      <c r="A741" s="13"/>
      <c r="B741" s="14"/>
      <c r="D741" s="15"/>
      <c r="E741" s="16"/>
      <c r="F741" s="14"/>
    </row>
    <row r="742">
      <c r="A742" s="13"/>
      <c r="B742" s="14"/>
      <c r="D742" s="15"/>
      <c r="E742" s="16"/>
      <c r="F742" s="14"/>
    </row>
    <row r="743">
      <c r="A743" s="13"/>
      <c r="B743" s="14"/>
      <c r="D743" s="15"/>
      <c r="E743" s="16"/>
      <c r="F743" s="14"/>
    </row>
    <row r="744">
      <c r="A744" s="13"/>
      <c r="B744" s="14"/>
      <c r="D744" s="15"/>
      <c r="E744" s="16"/>
      <c r="F744" s="14"/>
    </row>
    <row r="745">
      <c r="A745" s="13"/>
      <c r="B745" s="14"/>
      <c r="D745" s="15"/>
      <c r="E745" s="16"/>
      <c r="F745" s="14"/>
    </row>
    <row r="746">
      <c r="A746" s="13"/>
      <c r="B746" s="14"/>
      <c r="D746" s="15"/>
      <c r="E746" s="16"/>
      <c r="F746" s="14"/>
    </row>
    <row r="747">
      <c r="A747" s="13"/>
      <c r="B747" s="14"/>
      <c r="D747" s="15"/>
      <c r="E747" s="16"/>
      <c r="F747" s="14"/>
    </row>
    <row r="748">
      <c r="A748" s="13"/>
      <c r="B748" s="14"/>
      <c r="D748" s="15"/>
      <c r="E748" s="16"/>
      <c r="F748" s="14"/>
    </row>
    <row r="749">
      <c r="A749" s="13"/>
      <c r="B749" s="14"/>
      <c r="D749" s="15"/>
      <c r="E749" s="16"/>
      <c r="F749" s="14"/>
    </row>
    <row r="750">
      <c r="A750" s="13"/>
      <c r="B750" s="14"/>
      <c r="D750" s="15"/>
      <c r="E750" s="16"/>
      <c r="F750" s="14"/>
    </row>
    <row r="751">
      <c r="A751" s="13"/>
      <c r="B751" s="14"/>
      <c r="D751" s="15"/>
      <c r="E751" s="16"/>
      <c r="F751" s="14"/>
    </row>
    <row r="752">
      <c r="A752" s="13"/>
      <c r="B752" s="14"/>
      <c r="D752" s="15"/>
      <c r="E752" s="16"/>
      <c r="F752" s="14"/>
    </row>
    <row r="753">
      <c r="A753" s="13"/>
      <c r="B753" s="14"/>
      <c r="D753" s="15"/>
      <c r="E753" s="16"/>
      <c r="F753" s="14"/>
    </row>
    <row r="754">
      <c r="A754" s="13"/>
      <c r="B754" s="14"/>
      <c r="D754" s="15"/>
      <c r="E754" s="16"/>
      <c r="F754" s="14"/>
    </row>
    <row r="755">
      <c r="A755" s="13"/>
      <c r="B755" s="14"/>
      <c r="D755" s="15"/>
      <c r="E755" s="16"/>
      <c r="F755" s="14"/>
    </row>
    <row r="756">
      <c r="A756" s="13"/>
      <c r="B756" s="14"/>
      <c r="D756" s="15"/>
      <c r="E756" s="16"/>
      <c r="F756" s="14"/>
    </row>
    <row r="757">
      <c r="A757" s="13"/>
      <c r="B757" s="14"/>
      <c r="D757" s="15"/>
      <c r="E757" s="16"/>
      <c r="F757" s="14"/>
    </row>
    <row r="758">
      <c r="A758" s="13"/>
      <c r="B758" s="14"/>
      <c r="D758" s="15"/>
      <c r="E758" s="16"/>
      <c r="F758" s="14"/>
    </row>
    <row r="759">
      <c r="A759" s="13"/>
      <c r="B759" s="14"/>
      <c r="D759" s="15"/>
      <c r="E759" s="16"/>
      <c r="F759" s="14"/>
    </row>
    <row r="760">
      <c r="A760" s="13"/>
      <c r="B760" s="14"/>
      <c r="D760" s="15"/>
      <c r="E760" s="16"/>
      <c r="F760" s="14"/>
    </row>
    <row r="761">
      <c r="A761" s="13"/>
      <c r="B761" s="14"/>
      <c r="D761" s="15"/>
      <c r="E761" s="16"/>
      <c r="F761" s="14"/>
    </row>
    <row r="762">
      <c r="A762" s="13"/>
      <c r="B762" s="14"/>
      <c r="D762" s="15"/>
      <c r="E762" s="16"/>
      <c r="F762" s="14"/>
    </row>
    <row r="763">
      <c r="A763" s="13"/>
      <c r="B763" s="14"/>
      <c r="D763" s="15"/>
      <c r="E763" s="16"/>
      <c r="F763" s="14"/>
    </row>
    <row r="764">
      <c r="A764" s="13"/>
      <c r="B764" s="14"/>
      <c r="D764" s="15"/>
      <c r="E764" s="16"/>
      <c r="F764" s="14"/>
    </row>
    <row r="765">
      <c r="A765" s="13"/>
      <c r="B765" s="14"/>
      <c r="D765" s="15"/>
      <c r="E765" s="16"/>
      <c r="F765" s="14"/>
    </row>
    <row r="766">
      <c r="A766" s="13"/>
      <c r="B766" s="14"/>
      <c r="D766" s="15"/>
      <c r="E766" s="16"/>
      <c r="F766" s="14"/>
    </row>
    <row r="767">
      <c r="A767" s="13"/>
      <c r="B767" s="14"/>
      <c r="D767" s="15"/>
      <c r="E767" s="16"/>
      <c r="F767" s="14"/>
    </row>
    <row r="768">
      <c r="A768" s="13"/>
      <c r="B768" s="14"/>
      <c r="D768" s="15"/>
      <c r="E768" s="16"/>
      <c r="F768" s="14"/>
    </row>
    <row r="769">
      <c r="A769" s="13"/>
      <c r="B769" s="14"/>
      <c r="D769" s="15"/>
      <c r="E769" s="16"/>
      <c r="F769" s="14"/>
    </row>
    <row r="770">
      <c r="A770" s="13"/>
      <c r="B770" s="14"/>
      <c r="D770" s="15"/>
      <c r="E770" s="16"/>
      <c r="F770" s="14"/>
    </row>
    <row r="771">
      <c r="A771" s="13"/>
      <c r="B771" s="14"/>
      <c r="D771" s="15"/>
      <c r="E771" s="16"/>
      <c r="F771" s="14"/>
    </row>
    <row r="772">
      <c r="A772" s="13"/>
      <c r="B772" s="14"/>
      <c r="D772" s="15"/>
      <c r="E772" s="16"/>
      <c r="F772" s="14"/>
    </row>
    <row r="773">
      <c r="A773" s="13"/>
      <c r="B773" s="14"/>
      <c r="D773" s="15"/>
      <c r="E773" s="16"/>
      <c r="F773" s="14"/>
    </row>
    <row r="774">
      <c r="A774" s="13"/>
      <c r="B774" s="14"/>
      <c r="D774" s="15"/>
      <c r="E774" s="16"/>
      <c r="F774" s="14"/>
    </row>
    <row r="775">
      <c r="A775" s="13"/>
      <c r="B775" s="14"/>
      <c r="D775" s="15"/>
      <c r="E775" s="16"/>
      <c r="F775" s="14"/>
    </row>
    <row r="776">
      <c r="A776" s="13"/>
      <c r="B776" s="14"/>
      <c r="D776" s="15"/>
      <c r="E776" s="16"/>
      <c r="F776" s="14"/>
    </row>
    <row r="777">
      <c r="A777" s="13"/>
      <c r="B777" s="14"/>
      <c r="D777" s="15"/>
      <c r="E777" s="16"/>
      <c r="F777" s="14"/>
    </row>
    <row r="778">
      <c r="A778" s="13"/>
      <c r="B778" s="14"/>
      <c r="D778" s="15"/>
      <c r="E778" s="16"/>
      <c r="F778" s="14"/>
    </row>
    <row r="779">
      <c r="A779" s="13"/>
      <c r="B779" s="14"/>
      <c r="D779" s="15"/>
      <c r="E779" s="16"/>
      <c r="F779" s="14"/>
    </row>
    <row r="780">
      <c r="A780" s="13"/>
      <c r="B780" s="14"/>
      <c r="D780" s="15"/>
      <c r="E780" s="16"/>
      <c r="F780" s="14"/>
    </row>
    <row r="781">
      <c r="A781" s="13"/>
      <c r="B781" s="14"/>
      <c r="D781" s="15"/>
      <c r="E781" s="16"/>
      <c r="F781" s="14"/>
    </row>
    <row r="782">
      <c r="A782" s="13"/>
      <c r="B782" s="14"/>
      <c r="D782" s="15"/>
      <c r="E782" s="16"/>
      <c r="F782" s="14"/>
    </row>
    <row r="783">
      <c r="A783" s="13"/>
      <c r="B783" s="14"/>
      <c r="D783" s="15"/>
      <c r="E783" s="16"/>
      <c r="F783" s="14"/>
    </row>
    <row r="784">
      <c r="A784" s="13"/>
      <c r="B784" s="14"/>
      <c r="D784" s="15"/>
      <c r="E784" s="16"/>
      <c r="F784" s="14"/>
    </row>
    <row r="785">
      <c r="A785" s="13"/>
      <c r="B785" s="14"/>
      <c r="D785" s="15"/>
      <c r="E785" s="16"/>
      <c r="F785" s="14"/>
    </row>
    <row r="786">
      <c r="A786" s="13"/>
      <c r="B786" s="14"/>
      <c r="D786" s="15"/>
      <c r="E786" s="16"/>
      <c r="F786" s="14"/>
    </row>
    <row r="787">
      <c r="A787" s="13"/>
      <c r="B787" s="14"/>
      <c r="D787" s="15"/>
      <c r="E787" s="16"/>
      <c r="F787" s="14"/>
    </row>
    <row r="788">
      <c r="A788" s="13"/>
      <c r="B788" s="14"/>
      <c r="D788" s="15"/>
      <c r="E788" s="16"/>
      <c r="F788" s="14"/>
    </row>
    <row r="789">
      <c r="A789" s="13"/>
      <c r="B789" s="14"/>
      <c r="D789" s="15"/>
      <c r="E789" s="16"/>
      <c r="F789" s="14"/>
    </row>
    <row r="790">
      <c r="A790" s="13"/>
      <c r="B790" s="14"/>
      <c r="D790" s="15"/>
      <c r="E790" s="16"/>
      <c r="F790" s="14"/>
    </row>
    <row r="791">
      <c r="A791" s="13"/>
      <c r="B791" s="14"/>
      <c r="D791" s="15"/>
      <c r="E791" s="16"/>
      <c r="F791" s="14"/>
    </row>
    <row r="792">
      <c r="A792" s="13"/>
      <c r="B792" s="14"/>
      <c r="D792" s="15"/>
      <c r="E792" s="16"/>
      <c r="F792" s="14"/>
    </row>
    <row r="793">
      <c r="A793" s="13"/>
      <c r="B793" s="14"/>
      <c r="D793" s="15"/>
      <c r="E793" s="16"/>
      <c r="F793" s="14"/>
    </row>
    <row r="794">
      <c r="A794" s="13"/>
      <c r="B794" s="14"/>
      <c r="D794" s="15"/>
      <c r="E794" s="16"/>
      <c r="F794" s="14"/>
    </row>
    <row r="795">
      <c r="A795" s="13"/>
      <c r="B795" s="14"/>
      <c r="D795" s="15"/>
      <c r="E795" s="16"/>
      <c r="F795" s="14"/>
    </row>
    <row r="796">
      <c r="A796" s="13"/>
      <c r="B796" s="14"/>
      <c r="D796" s="15"/>
      <c r="E796" s="16"/>
      <c r="F796" s="14"/>
    </row>
    <row r="797">
      <c r="A797" s="13"/>
      <c r="B797" s="14"/>
      <c r="D797" s="15"/>
      <c r="E797" s="16"/>
      <c r="F797" s="14"/>
    </row>
    <row r="798">
      <c r="A798" s="13"/>
      <c r="B798" s="14"/>
      <c r="D798" s="15"/>
      <c r="E798" s="16"/>
      <c r="F798" s="14"/>
    </row>
    <row r="799">
      <c r="A799" s="13"/>
      <c r="B799" s="14"/>
      <c r="D799" s="15"/>
      <c r="E799" s="16"/>
      <c r="F799" s="14"/>
    </row>
    <row r="800">
      <c r="A800" s="13"/>
      <c r="B800" s="14"/>
      <c r="D800" s="15"/>
      <c r="E800" s="16"/>
      <c r="F800" s="14"/>
    </row>
    <row r="801">
      <c r="A801" s="13"/>
      <c r="B801" s="14"/>
      <c r="D801" s="15"/>
      <c r="E801" s="16"/>
      <c r="F801" s="14"/>
    </row>
    <row r="802">
      <c r="A802" s="13"/>
      <c r="B802" s="14"/>
      <c r="D802" s="15"/>
      <c r="E802" s="16"/>
      <c r="F802" s="14"/>
    </row>
    <row r="803">
      <c r="A803" s="13"/>
      <c r="B803" s="14"/>
      <c r="D803" s="15"/>
      <c r="E803" s="16"/>
      <c r="F803" s="14"/>
    </row>
    <row r="804">
      <c r="A804" s="13"/>
      <c r="B804" s="14"/>
      <c r="D804" s="15"/>
      <c r="E804" s="16"/>
      <c r="F804" s="14"/>
    </row>
    <row r="805">
      <c r="A805" s="13"/>
      <c r="B805" s="14"/>
      <c r="D805" s="15"/>
      <c r="E805" s="16"/>
      <c r="F805" s="14"/>
    </row>
    <row r="806">
      <c r="A806" s="13"/>
      <c r="B806" s="14"/>
      <c r="D806" s="15"/>
      <c r="E806" s="16"/>
      <c r="F806" s="14"/>
    </row>
    <row r="807">
      <c r="A807" s="13"/>
      <c r="B807" s="14"/>
      <c r="D807" s="15"/>
      <c r="E807" s="16"/>
      <c r="F807" s="14"/>
    </row>
    <row r="808">
      <c r="A808" s="13"/>
      <c r="B808" s="14"/>
      <c r="D808" s="15"/>
      <c r="E808" s="16"/>
      <c r="F808" s="14"/>
    </row>
    <row r="809">
      <c r="A809" s="13"/>
      <c r="B809" s="14"/>
      <c r="D809" s="15"/>
      <c r="E809" s="16"/>
      <c r="F809" s="14"/>
    </row>
    <row r="810">
      <c r="A810" s="13"/>
      <c r="B810" s="14"/>
      <c r="D810" s="15"/>
      <c r="E810" s="16"/>
      <c r="F810" s="14"/>
    </row>
    <row r="811">
      <c r="A811" s="13"/>
      <c r="B811" s="14"/>
      <c r="D811" s="15"/>
      <c r="E811" s="16"/>
      <c r="F811" s="14"/>
    </row>
    <row r="812">
      <c r="A812" s="13"/>
      <c r="B812" s="14"/>
      <c r="D812" s="15"/>
      <c r="E812" s="16"/>
      <c r="F812" s="14"/>
    </row>
    <row r="813">
      <c r="A813" s="13"/>
      <c r="B813" s="14"/>
      <c r="D813" s="15"/>
      <c r="E813" s="16"/>
      <c r="F813" s="14"/>
    </row>
    <row r="814">
      <c r="A814" s="13"/>
      <c r="B814" s="14"/>
      <c r="D814" s="15"/>
      <c r="E814" s="16"/>
      <c r="F814" s="14"/>
    </row>
    <row r="815">
      <c r="A815" s="13"/>
      <c r="B815" s="14"/>
      <c r="D815" s="15"/>
      <c r="E815" s="16"/>
      <c r="F815" s="14"/>
    </row>
    <row r="816">
      <c r="A816" s="13"/>
      <c r="B816" s="14"/>
      <c r="D816" s="15"/>
      <c r="E816" s="16"/>
      <c r="F816" s="14"/>
    </row>
    <row r="817">
      <c r="A817" s="13"/>
      <c r="B817" s="14"/>
      <c r="D817" s="15"/>
      <c r="E817" s="16"/>
      <c r="F817" s="14"/>
    </row>
    <row r="818">
      <c r="A818" s="13"/>
      <c r="B818" s="14"/>
      <c r="D818" s="15"/>
      <c r="E818" s="16"/>
      <c r="F818" s="14"/>
    </row>
    <row r="819">
      <c r="A819" s="13"/>
      <c r="B819" s="14"/>
      <c r="D819" s="15"/>
      <c r="E819" s="16"/>
      <c r="F819" s="14"/>
    </row>
    <row r="820">
      <c r="A820" s="13"/>
      <c r="B820" s="14"/>
      <c r="D820" s="15"/>
      <c r="E820" s="16"/>
      <c r="F820" s="14"/>
    </row>
    <row r="821">
      <c r="A821" s="13"/>
      <c r="B821" s="14"/>
      <c r="D821" s="15"/>
      <c r="E821" s="16"/>
      <c r="F821" s="14"/>
    </row>
    <row r="822">
      <c r="A822" s="13"/>
      <c r="B822" s="14"/>
      <c r="D822" s="15"/>
      <c r="E822" s="16"/>
      <c r="F822" s="14"/>
    </row>
    <row r="823">
      <c r="A823" s="13"/>
      <c r="B823" s="14"/>
      <c r="D823" s="15"/>
      <c r="E823" s="16"/>
      <c r="F823" s="14"/>
    </row>
    <row r="824">
      <c r="A824" s="13"/>
      <c r="B824" s="14"/>
      <c r="D824" s="15"/>
      <c r="E824" s="16"/>
      <c r="F824" s="14"/>
    </row>
    <row r="825">
      <c r="A825" s="13"/>
      <c r="B825" s="14"/>
      <c r="D825" s="15"/>
      <c r="E825" s="16"/>
      <c r="F825" s="14"/>
    </row>
    <row r="826">
      <c r="A826" s="13"/>
      <c r="B826" s="14"/>
      <c r="D826" s="15"/>
      <c r="E826" s="16"/>
      <c r="F826" s="14"/>
    </row>
    <row r="827">
      <c r="A827" s="13"/>
      <c r="B827" s="14"/>
      <c r="D827" s="15"/>
      <c r="E827" s="16"/>
      <c r="F827" s="14"/>
    </row>
    <row r="828">
      <c r="A828" s="13"/>
      <c r="B828" s="14"/>
      <c r="D828" s="15"/>
      <c r="E828" s="16"/>
      <c r="F828" s="14"/>
    </row>
    <row r="829">
      <c r="A829" s="13"/>
      <c r="B829" s="14"/>
      <c r="D829" s="15"/>
      <c r="E829" s="16"/>
      <c r="F829" s="14"/>
    </row>
    <row r="830">
      <c r="A830" s="13"/>
      <c r="B830" s="14"/>
      <c r="D830" s="15"/>
      <c r="E830" s="16"/>
      <c r="F830" s="14"/>
    </row>
    <row r="831">
      <c r="A831" s="13"/>
      <c r="B831" s="14"/>
      <c r="D831" s="15"/>
      <c r="E831" s="16"/>
      <c r="F831" s="14"/>
    </row>
    <row r="832">
      <c r="A832" s="13"/>
      <c r="B832" s="14"/>
      <c r="D832" s="15"/>
      <c r="E832" s="16"/>
      <c r="F832" s="14"/>
    </row>
    <row r="833">
      <c r="A833" s="13"/>
      <c r="B833" s="14"/>
      <c r="D833" s="15"/>
      <c r="E833" s="16"/>
      <c r="F833" s="14"/>
    </row>
    <row r="834">
      <c r="A834" s="13"/>
      <c r="B834" s="14"/>
      <c r="D834" s="15"/>
      <c r="E834" s="16"/>
      <c r="F834" s="14"/>
    </row>
    <row r="835">
      <c r="A835" s="13"/>
      <c r="B835" s="14"/>
      <c r="D835" s="15"/>
      <c r="E835" s="16"/>
      <c r="F835" s="14"/>
    </row>
    <row r="836">
      <c r="A836" s="13"/>
      <c r="B836" s="14"/>
      <c r="D836" s="15"/>
      <c r="E836" s="16"/>
      <c r="F836" s="14"/>
    </row>
    <row r="837">
      <c r="A837" s="13"/>
      <c r="B837" s="14"/>
      <c r="D837" s="15"/>
      <c r="E837" s="16"/>
      <c r="F837" s="14"/>
    </row>
    <row r="838">
      <c r="A838" s="13"/>
      <c r="B838" s="14"/>
      <c r="D838" s="15"/>
      <c r="E838" s="16"/>
      <c r="F838" s="14"/>
    </row>
    <row r="839">
      <c r="A839" s="13"/>
      <c r="B839" s="14"/>
      <c r="D839" s="15"/>
      <c r="E839" s="16"/>
      <c r="F839" s="14"/>
    </row>
    <row r="840">
      <c r="A840" s="13"/>
      <c r="B840" s="14"/>
      <c r="D840" s="15"/>
      <c r="E840" s="16"/>
      <c r="F840" s="14"/>
    </row>
    <row r="841">
      <c r="A841" s="13"/>
      <c r="B841" s="14"/>
      <c r="D841" s="15"/>
      <c r="E841" s="16"/>
      <c r="F841" s="14"/>
    </row>
    <row r="842">
      <c r="A842" s="13"/>
      <c r="B842" s="14"/>
      <c r="D842" s="15"/>
      <c r="E842" s="16"/>
      <c r="F842" s="14"/>
    </row>
    <row r="843">
      <c r="A843" s="13"/>
      <c r="B843" s="14"/>
      <c r="D843" s="15"/>
      <c r="E843" s="16"/>
      <c r="F843" s="14"/>
    </row>
    <row r="844">
      <c r="A844" s="13"/>
      <c r="B844" s="14"/>
      <c r="D844" s="15"/>
      <c r="E844" s="16"/>
      <c r="F844" s="14"/>
    </row>
    <row r="845">
      <c r="A845" s="13"/>
      <c r="B845" s="14"/>
      <c r="D845" s="15"/>
      <c r="E845" s="16"/>
      <c r="F845" s="14"/>
    </row>
    <row r="846">
      <c r="A846" s="13"/>
      <c r="B846" s="14"/>
      <c r="D846" s="15"/>
      <c r="E846" s="16"/>
      <c r="F846" s="14"/>
    </row>
    <row r="847">
      <c r="A847" s="13"/>
      <c r="B847" s="14"/>
      <c r="D847" s="15"/>
      <c r="E847" s="16"/>
      <c r="F847" s="14"/>
    </row>
    <row r="848">
      <c r="A848" s="13"/>
      <c r="B848" s="14"/>
      <c r="D848" s="15"/>
      <c r="E848" s="16"/>
      <c r="F848" s="14"/>
    </row>
    <row r="849">
      <c r="A849" s="13"/>
      <c r="B849" s="14"/>
      <c r="D849" s="15"/>
      <c r="E849" s="16"/>
      <c r="F849" s="14"/>
    </row>
    <row r="850">
      <c r="A850" s="13"/>
      <c r="B850" s="14"/>
      <c r="D850" s="15"/>
      <c r="E850" s="16"/>
      <c r="F850" s="14"/>
    </row>
    <row r="851">
      <c r="A851" s="13"/>
      <c r="B851" s="14"/>
      <c r="D851" s="15"/>
      <c r="E851" s="16"/>
      <c r="F851" s="14"/>
    </row>
    <row r="852">
      <c r="A852" s="13"/>
      <c r="B852" s="14"/>
      <c r="D852" s="15"/>
      <c r="E852" s="16"/>
      <c r="F852" s="14"/>
    </row>
    <row r="853">
      <c r="A853" s="13"/>
      <c r="B853" s="14"/>
      <c r="D853" s="15"/>
      <c r="E853" s="16"/>
      <c r="F853" s="14"/>
    </row>
    <row r="854">
      <c r="A854" s="13"/>
      <c r="B854" s="14"/>
      <c r="D854" s="15"/>
      <c r="E854" s="16"/>
      <c r="F854" s="14"/>
    </row>
    <row r="855">
      <c r="A855" s="13"/>
      <c r="B855" s="14"/>
      <c r="D855" s="15"/>
      <c r="E855" s="16"/>
      <c r="F855" s="14"/>
    </row>
    <row r="856">
      <c r="A856" s="13"/>
      <c r="B856" s="14"/>
      <c r="D856" s="15"/>
      <c r="E856" s="16"/>
      <c r="F856" s="14"/>
    </row>
    <row r="857">
      <c r="A857" s="13"/>
      <c r="B857" s="14"/>
      <c r="D857" s="15"/>
      <c r="E857" s="16"/>
      <c r="F857" s="14"/>
    </row>
    <row r="858">
      <c r="A858" s="13"/>
      <c r="B858" s="14"/>
      <c r="D858" s="15"/>
      <c r="E858" s="16"/>
      <c r="F858" s="14"/>
    </row>
    <row r="859">
      <c r="A859" s="13"/>
      <c r="B859" s="14"/>
      <c r="D859" s="15"/>
      <c r="E859" s="16"/>
      <c r="F859" s="14"/>
    </row>
    <row r="860">
      <c r="A860" s="13"/>
      <c r="B860" s="14"/>
      <c r="D860" s="15"/>
      <c r="E860" s="16"/>
      <c r="F860" s="14"/>
    </row>
    <row r="861">
      <c r="A861" s="13"/>
      <c r="B861" s="14"/>
      <c r="D861" s="15"/>
      <c r="E861" s="16"/>
      <c r="F861" s="14"/>
    </row>
    <row r="862">
      <c r="A862" s="13"/>
      <c r="B862" s="14"/>
      <c r="D862" s="15"/>
      <c r="E862" s="16"/>
      <c r="F862" s="14"/>
    </row>
    <row r="863">
      <c r="A863" s="13"/>
      <c r="B863" s="14"/>
      <c r="D863" s="15"/>
      <c r="E863" s="16"/>
      <c r="F863" s="14"/>
    </row>
    <row r="864">
      <c r="A864" s="13"/>
      <c r="B864" s="14"/>
      <c r="D864" s="15"/>
      <c r="E864" s="16"/>
      <c r="F864" s="14"/>
    </row>
    <row r="865">
      <c r="A865" s="13"/>
      <c r="B865" s="14"/>
      <c r="D865" s="15"/>
      <c r="E865" s="16"/>
      <c r="F865" s="14"/>
    </row>
    <row r="866">
      <c r="A866" s="13"/>
      <c r="B866" s="14"/>
      <c r="D866" s="15"/>
      <c r="E866" s="16"/>
      <c r="F866" s="14"/>
    </row>
    <row r="867">
      <c r="A867" s="13"/>
      <c r="B867" s="14"/>
      <c r="D867" s="15"/>
      <c r="E867" s="16"/>
      <c r="F867" s="14"/>
    </row>
    <row r="868">
      <c r="A868" s="13"/>
      <c r="B868" s="14"/>
      <c r="D868" s="15"/>
      <c r="E868" s="16"/>
      <c r="F868" s="14"/>
    </row>
    <row r="869">
      <c r="A869" s="13"/>
      <c r="B869" s="14"/>
      <c r="D869" s="15"/>
      <c r="E869" s="16"/>
      <c r="F869" s="14"/>
    </row>
    <row r="870">
      <c r="A870" s="13"/>
      <c r="B870" s="14"/>
      <c r="D870" s="15"/>
      <c r="E870" s="16"/>
      <c r="F870" s="14"/>
    </row>
    <row r="871">
      <c r="A871" s="13"/>
      <c r="B871" s="14"/>
      <c r="D871" s="15"/>
      <c r="E871" s="16"/>
      <c r="F871" s="14"/>
    </row>
    <row r="872">
      <c r="A872" s="13"/>
      <c r="B872" s="14"/>
      <c r="D872" s="15"/>
      <c r="E872" s="16"/>
      <c r="F872" s="14"/>
    </row>
    <row r="873">
      <c r="A873" s="13"/>
      <c r="B873" s="14"/>
      <c r="D873" s="15"/>
      <c r="E873" s="16"/>
      <c r="F873" s="14"/>
    </row>
    <row r="874">
      <c r="A874" s="13"/>
      <c r="B874" s="14"/>
      <c r="D874" s="15"/>
      <c r="E874" s="16"/>
      <c r="F874" s="14"/>
    </row>
    <row r="875">
      <c r="A875" s="13"/>
      <c r="B875" s="14"/>
      <c r="D875" s="15"/>
      <c r="E875" s="16"/>
      <c r="F875" s="14"/>
    </row>
    <row r="876">
      <c r="A876" s="13"/>
      <c r="B876" s="14"/>
      <c r="D876" s="15"/>
      <c r="E876" s="16"/>
      <c r="F876" s="14"/>
    </row>
    <row r="877">
      <c r="A877" s="13"/>
      <c r="B877" s="14"/>
      <c r="D877" s="15"/>
      <c r="E877" s="16"/>
      <c r="F877" s="14"/>
    </row>
    <row r="878">
      <c r="A878" s="13"/>
      <c r="B878" s="14"/>
      <c r="D878" s="15"/>
      <c r="E878" s="16"/>
      <c r="F878" s="14"/>
    </row>
    <row r="879">
      <c r="A879" s="13"/>
      <c r="B879" s="14"/>
      <c r="D879" s="15"/>
      <c r="E879" s="16"/>
      <c r="F879" s="14"/>
    </row>
    <row r="880">
      <c r="A880" s="13"/>
      <c r="B880" s="14"/>
      <c r="D880" s="15"/>
      <c r="E880" s="16"/>
      <c r="F880" s="14"/>
    </row>
    <row r="881">
      <c r="A881" s="13"/>
      <c r="B881" s="14"/>
      <c r="D881" s="15"/>
      <c r="E881" s="16"/>
      <c r="F881" s="14"/>
    </row>
    <row r="882">
      <c r="A882" s="13"/>
      <c r="B882" s="14"/>
      <c r="D882" s="15"/>
      <c r="E882" s="16"/>
      <c r="F882" s="14"/>
    </row>
    <row r="883">
      <c r="A883" s="13"/>
      <c r="B883" s="14"/>
      <c r="D883" s="15"/>
      <c r="E883" s="16"/>
      <c r="F883" s="14"/>
    </row>
    <row r="884">
      <c r="A884" s="13"/>
      <c r="B884" s="14"/>
      <c r="D884" s="15"/>
      <c r="E884" s="16"/>
      <c r="F884" s="14"/>
    </row>
    <row r="885">
      <c r="A885" s="13"/>
      <c r="B885" s="14"/>
      <c r="D885" s="15"/>
      <c r="E885" s="16"/>
      <c r="F885" s="14"/>
    </row>
    <row r="886">
      <c r="A886" s="13"/>
      <c r="B886" s="14"/>
      <c r="D886" s="15"/>
      <c r="E886" s="16"/>
      <c r="F886" s="14"/>
    </row>
    <row r="887">
      <c r="A887" s="13"/>
      <c r="B887" s="14"/>
      <c r="D887" s="15"/>
      <c r="E887" s="16"/>
      <c r="F887" s="14"/>
    </row>
    <row r="888">
      <c r="A888" s="13"/>
      <c r="B888" s="14"/>
      <c r="D888" s="15"/>
      <c r="E888" s="16"/>
      <c r="F888" s="14"/>
    </row>
    <row r="889">
      <c r="A889" s="13"/>
      <c r="B889" s="14"/>
      <c r="D889" s="15"/>
      <c r="E889" s="16"/>
      <c r="F889" s="14"/>
    </row>
    <row r="890">
      <c r="A890" s="13"/>
      <c r="B890" s="14"/>
      <c r="D890" s="15"/>
      <c r="E890" s="16"/>
      <c r="F890" s="14"/>
    </row>
    <row r="891">
      <c r="A891" s="13"/>
      <c r="B891" s="14"/>
      <c r="D891" s="15"/>
      <c r="E891" s="16"/>
      <c r="F891" s="14"/>
    </row>
    <row r="892">
      <c r="A892" s="13"/>
      <c r="B892" s="14"/>
      <c r="D892" s="15"/>
      <c r="E892" s="16"/>
      <c r="F892" s="14"/>
    </row>
    <row r="893">
      <c r="A893" s="13"/>
      <c r="B893" s="14"/>
      <c r="D893" s="15"/>
      <c r="E893" s="16"/>
      <c r="F893" s="14"/>
    </row>
    <row r="894">
      <c r="A894" s="13"/>
      <c r="B894" s="14"/>
      <c r="D894" s="15"/>
      <c r="E894" s="16"/>
      <c r="F894" s="14"/>
    </row>
    <row r="895">
      <c r="A895" s="13"/>
      <c r="B895" s="14"/>
      <c r="D895" s="15"/>
      <c r="E895" s="16"/>
      <c r="F895" s="14"/>
    </row>
    <row r="896">
      <c r="A896" s="13"/>
      <c r="B896" s="14"/>
      <c r="D896" s="15"/>
      <c r="E896" s="16"/>
      <c r="F896" s="14"/>
    </row>
    <row r="897">
      <c r="A897" s="13"/>
      <c r="B897" s="14"/>
      <c r="D897" s="15"/>
      <c r="E897" s="16"/>
      <c r="F897" s="14"/>
    </row>
    <row r="898">
      <c r="A898" s="13"/>
      <c r="B898" s="14"/>
      <c r="D898" s="15"/>
      <c r="E898" s="16"/>
      <c r="F898" s="14"/>
    </row>
    <row r="899">
      <c r="A899" s="13"/>
      <c r="B899" s="14"/>
      <c r="D899" s="15"/>
      <c r="E899" s="16"/>
      <c r="F899" s="14"/>
    </row>
    <row r="900">
      <c r="A900" s="13"/>
      <c r="B900" s="14"/>
      <c r="D900" s="15"/>
      <c r="E900" s="16"/>
      <c r="F900" s="14"/>
    </row>
    <row r="901">
      <c r="A901" s="13"/>
      <c r="B901" s="14"/>
      <c r="D901" s="15"/>
      <c r="E901" s="16"/>
      <c r="F901" s="14"/>
    </row>
    <row r="902">
      <c r="A902" s="13"/>
      <c r="B902" s="14"/>
      <c r="D902" s="15"/>
      <c r="E902" s="16"/>
      <c r="F902" s="14"/>
    </row>
    <row r="903">
      <c r="A903" s="13"/>
      <c r="B903" s="14"/>
      <c r="D903" s="15"/>
      <c r="E903" s="16"/>
      <c r="F903" s="14"/>
    </row>
    <row r="904">
      <c r="A904" s="13"/>
      <c r="B904" s="14"/>
      <c r="D904" s="15"/>
      <c r="E904" s="16"/>
      <c r="F904" s="14"/>
    </row>
    <row r="905">
      <c r="A905" s="13"/>
      <c r="B905" s="14"/>
      <c r="D905" s="15"/>
      <c r="E905" s="16"/>
      <c r="F905" s="14"/>
    </row>
    <row r="906">
      <c r="A906" s="13"/>
      <c r="B906" s="14"/>
      <c r="D906" s="15"/>
      <c r="E906" s="16"/>
      <c r="F906" s="14"/>
    </row>
    <row r="907">
      <c r="A907" s="13"/>
      <c r="B907" s="14"/>
      <c r="D907" s="15"/>
      <c r="E907" s="16"/>
      <c r="F907" s="14"/>
    </row>
    <row r="908">
      <c r="A908" s="13"/>
      <c r="B908" s="14"/>
      <c r="D908" s="15"/>
      <c r="E908" s="16"/>
      <c r="F908" s="14"/>
    </row>
    <row r="909">
      <c r="A909" s="13"/>
      <c r="B909" s="14"/>
      <c r="D909" s="15"/>
      <c r="E909" s="16"/>
      <c r="F909" s="14"/>
    </row>
    <row r="910">
      <c r="A910" s="13"/>
      <c r="B910" s="14"/>
      <c r="D910" s="15"/>
      <c r="E910" s="16"/>
      <c r="F910" s="14"/>
    </row>
    <row r="911">
      <c r="A911" s="13"/>
      <c r="B911" s="14"/>
      <c r="D911" s="15"/>
      <c r="E911" s="16"/>
      <c r="F911" s="14"/>
    </row>
    <row r="912">
      <c r="A912" s="13"/>
      <c r="B912" s="14"/>
      <c r="D912" s="15"/>
      <c r="E912" s="16"/>
      <c r="F912" s="14"/>
    </row>
    <row r="913">
      <c r="A913" s="13"/>
      <c r="B913" s="14"/>
      <c r="D913" s="15"/>
      <c r="E913" s="16"/>
      <c r="F913" s="14"/>
    </row>
    <row r="914">
      <c r="A914" s="13"/>
      <c r="B914" s="14"/>
      <c r="D914" s="15"/>
      <c r="E914" s="16"/>
      <c r="F914" s="14"/>
    </row>
    <row r="915">
      <c r="A915" s="13"/>
      <c r="B915" s="14"/>
      <c r="D915" s="15"/>
      <c r="E915" s="16"/>
      <c r="F915" s="14"/>
    </row>
    <row r="916">
      <c r="A916" s="13"/>
      <c r="B916" s="14"/>
      <c r="D916" s="15"/>
      <c r="E916" s="16"/>
      <c r="F916" s="14"/>
    </row>
    <row r="917">
      <c r="A917" s="13"/>
      <c r="B917" s="14"/>
      <c r="D917" s="15"/>
      <c r="E917" s="16"/>
      <c r="F917" s="14"/>
    </row>
    <row r="918">
      <c r="A918" s="13"/>
      <c r="B918" s="14"/>
      <c r="D918" s="15"/>
      <c r="E918" s="16"/>
      <c r="F918" s="14"/>
    </row>
    <row r="919">
      <c r="A919" s="13"/>
      <c r="B919" s="14"/>
      <c r="D919" s="15"/>
      <c r="E919" s="16"/>
      <c r="F919" s="14"/>
    </row>
    <row r="920">
      <c r="A920" s="13"/>
      <c r="B920" s="14"/>
      <c r="D920" s="15"/>
      <c r="E920" s="16"/>
      <c r="F920" s="14"/>
    </row>
    <row r="921">
      <c r="A921" s="13"/>
      <c r="B921" s="14"/>
      <c r="D921" s="15"/>
      <c r="E921" s="16"/>
      <c r="F921" s="14"/>
    </row>
    <row r="922">
      <c r="A922" s="13"/>
      <c r="B922" s="14"/>
      <c r="D922" s="15"/>
      <c r="E922" s="16"/>
      <c r="F922" s="14"/>
    </row>
    <row r="923">
      <c r="A923" s="13"/>
      <c r="B923" s="14"/>
      <c r="D923" s="15"/>
      <c r="E923" s="16"/>
      <c r="F923" s="14"/>
    </row>
    <row r="924">
      <c r="A924" s="13"/>
      <c r="B924" s="14"/>
      <c r="D924" s="15"/>
      <c r="E924" s="16"/>
      <c r="F924" s="14"/>
    </row>
    <row r="925">
      <c r="A925" s="13"/>
      <c r="B925" s="14"/>
      <c r="D925" s="15"/>
      <c r="E925" s="16"/>
      <c r="F925" s="14"/>
    </row>
    <row r="926">
      <c r="A926" s="13"/>
      <c r="B926" s="14"/>
      <c r="D926" s="15"/>
      <c r="E926" s="16"/>
      <c r="F926" s="14"/>
    </row>
    <row r="927">
      <c r="A927" s="13"/>
      <c r="B927" s="14"/>
      <c r="D927" s="15"/>
      <c r="E927" s="16"/>
      <c r="F927" s="14"/>
    </row>
    <row r="928">
      <c r="A928" s="13"/>
      <c r="B928" s="14"/>
      <c r="D928" s="15"/>
      <c r="E928" s="16"/>
      <c r="F928" s="14"/>
    </row>
    <row r="929">
      <c r="A929" s="13"/>
      <c r="B929" s="14"/>
      <c r="D929" s="15"/>
      <c r="E929" s="16"/>
      <c r="F929" s="14"/>
    </row>
    <row r="930">
      <c r="A930" s="13"/>
      <c r="B930" s="14"/>
      <c r="D930" s="15"/>
      <c r="E930" s="16"/>
      <c r="F930" s="14"/>
    </row>
    <row r="931">
      <c r="A931" s="13"/>
      <c r="B931" s="14"/>
      <c r="D931" s="15"/>
      <c r="E931" s="16"/>
      <c r="F931" s="14"/>
    </row>
    <row r="932">
      <c r="A932" s="13"/>
      <c r="B932" s="14"/>
      <c r="D932" s="15"/>
      <c r="E932" s="16"/>
      <c r="F932" s="14"/>
    </row>
    <row r="933">
      <c r="A933" s="13"/>
      <c r="B933" s="14"/>
      <c r="D933" s="15"/>
      <c r="E933" s="16"/>
      <c r="F933" s="14"/>
    </row>
    <row r="934">
      <c r="A934" s="13"/>
      <c r="B934" s="14"/>
      <c r="D934" s="15"/>
      <c r="E934" s="16"/>
      <c r="F934" s="14"/>
    </row>
    <row r="935">
      <c r="A935" s="13"/>
      <c r="B935" s="14"/>
      <c r="D935" s="15"/>
      <c r="E935" s="16"/>
      <c r="F935" s="14"/>
    </row>
    <row r="936">
      <c r="A936" s="13"/>
      <c r="B936" s="14"/>
      <c r="D936" s="15"/>
      <c r="E936" s="16"/>
      <c r="F936" s="14"/>
    </row>
    <row r="937">
      <c r="A937" s="13"/>
      <c r="B937" s="14"/>
      <c r="D937" s="15"/>
      <c r="E937" s="16"/>
      <c r="F937" s="14"/>
    </row>
    <row r="938">
      <c r="A938" s="13"/>
      <c r="B938" s="14"/>
      <c r="D938" s="15"/>
      <c r="E938" s="16"/>
      <c r="F938" s="14"/>
    </row>
    <row r="939">
      <c r="A939" s="13"/>
      <c r="B939" s="14"/>
      <c r="D939" s="15"/>
      <c r="E939" s="16"/>
      <c r="F939" s="14"/>
    </row>
    <row r="940">
      <c r="A940" s="13"/>
      <c r="B940" s="14"/>
      <c r="D940" s="15"/>
      <c r="E940" s="16"/>
      <c r="F940" s="14"/>
    </row>
    <row r="941">
      <c r="A941" s="13"/>
      <c r="B941" s="14"/>
      <c r="D941" s="15"/>
      <c r="E941" s="16"/>
      <c r="F941" s="14"/>
    </row>
    <row r="942">
      <c r="A942" s="13"/>
      <c r="B942" s="14"/>
      <c r="D942" s="15"/>
      <c r="E942" s="16"/>
      <c r="F942" s="14"/>
    </row>
    <row r="943">
      <c r="A943" s="13"/>
      <c r="B943" s="14"/>
      <c r="D943" s="15"/>
      <c r="E943" s="16"/>
      <c r="F943" s="14"/>
    </row>
    <row r="944">
      <c r="A944" s="13"/>
      <c r="B944" s="14"/>
      <c r="D944" s="15"/>
      <c r="E944" s="16"/>
      <c r="F944" s="14"/>
    </row>
    <row r="945">
      <c r="A945" s="13"/>
      <c r="B945" s="14"/>
      <c r="D945" s="15"/>
      <c r="E945" s="16"/>
      <c r="F945" s="14"/>
    </row>
    <row r="946">
      <c r="A946" s="13"/>
      <c r="B946" s="14"/>
      <c r="D946" s="15"/>
      <c r="E946" s="16"/>
      <c r="F946" s="14"/>
    </row>
    <row r="947">
      <c r="A947" s="13"/>
      <c r="B947" s="14"/>
      <c r="D947" s="15"/>
      <c r="E947" s="16"/>
      <c r="F947" s="14"/>
    </row>
    <row r="948">
      <c r="A948" s="13"/>
      <c r="B948" s="14"/>
      <c r="D948" s="15"/>
      <c r="E948" s="16"/>
      <c r="F948" s="14"/>
    </row>
    <row r="949">
      <c r="A949" s="13"/>
      <c r="B949" s="14"/>
      <c r="D949" s="15"/>
      <c r="E949" s="16"/>
      <c r="F949" s="14"/>
    </row>
    <row r="950">
      <c r="A950" s="13"/>
      <c r="B950" s="14"/>
      <c r="D950" s="15"/>
      <c r="E950" s="16"/>
      <c r="F950" s="14"/>
    </row>
    <row r="951">
      <c r="A951" s="13"/>
      <c r="B951" s="14"/>
      <c r="D951" s="15"/>
      <c r="E951" s="16"/>
      <c r="F951" s="14"/>
    </row>
    <row r="952">
      <c r="A952" s="13"/>
      <c r="B952" s="14"/>
      <c r="D952" s="15"/>
      <c r="E952" s="16"/>
      <c r="F952" s="14"/>
    </row>
    <row r="953">
      <c r="A953" s="13"/>
      <c r="B953" s="14"/>
      <c r="D953" s="15"/>
      <c r="E953" s="16"/>
      <c r="F953" s="14"/>
    </row>
    <row r="954">
      <c r="A954" s="13"/>
      <c r="B954" s="14"/>
      <c r="D954" s="15"/>
      <c r="E954" s="16"/>
      <c r="F954" s="14"/>
    </row>
    <row r="955">
      <c r="A955" s="13"/>
      <c r="B955" s="14"/>
      <c r="D955" s="15"/>
      <c r="E955" s="16"/>
      <c r="F955" s="14"/>
    </row>
    <row r="956">
      <c r="A956" s="13"/>
      <c r="B956" s="14"/>
      <c r="D956" s="15"/>
      <c r="E956" s="16"/>
      <c r="F956" s="14"/>
    </row>
    <row r="957">
      <c r="A957" s="13"/>
      <c r="B957" s="14"/>
      <c r="D957" s="15"/>
      <c r="E957" s="16"/>
      <c r="F957" s="14"/>
    </row>
    <row r="958">
      <c r="A958" s="13"/>
      <c r="B958" s="14"/>
      <c r="D958" s="15"/>
      <c r="E958" s="16"/>
      <c r="F958" s="14"/>
    </row>
    <row r="959">
      <c r="A959" s="13"/>
      <c r="B959" s="14"/>
      <c r="D959" s="15"/>
      <c r="E959" s="16"/>
      <c r="F959" s="14"/>
    </row>
    <row r="960">
      <c r="A960" s="13"/>
      <c r="B960" s="14"/>
      <c r="D960" s="15"/>
      <c r="E960" s="16"/>
      <c r="F960" s="14"/>
    </row>
    <row r="961">
      <c r="A961" s="13"/>
      <c r="B961" s="14"/>
      <c r="D961" s="15"/>
      <c r="E961" s="16"/>
      <c r="F961" s="14"/>
    </row>
    <row r="962">
      <c r="A962" s="13"/>
      <c r="B962" s="14"/>
      <c r="D962" s="15"/>
      <c r="E962" s="16"/>
      <c r="F962" s="14"/>
    </row>
    <row r="963">
      <c r="A963" s="13"/>
      <c r="B963" s="14"/>
      <c r="D963" s="15"/>
      <c r="E963" s="16"/>
      <c r="F963" s="14"/>
    </row>
    <row r="964">
      <c r="A964" s="13"/>
      <c r="B964" s="14"/>
      <c r="D964" s="15"/>
      <c r="E964" s="16"/>
      <c r="F964" s="14"/>
    </row>
    <row r="965">
      <c r="A965" s="13"/>
      <c r="B965" s="14"/>
      <c r="D965" s="15"/>
      <c r="E965" s="16"/>
      <c r="F965" s="14"/>
    </row>
    <row r="966">
      <c r="A966" s="13"/>
      <c r="B966" s="14"/>
      <c r="D966" s="15"/>
      <c r="E966" s="16"/>
      <c r="F966" s="14"/>
    </row>
    <row r="967">
      <c r="A967" s="13"/>
      <c r="B967" s="14"/>
      <c r="D967" s="15"/>
      <c r="E967" s="16"/>
      <c r="F967" s="14"/>
    </row>
    <row r="968">
      <c r="A968" s="13"/>
      <c r="B968" s="14"/>
      <c r="D968" s="15"/>
      <c r="E968" s="16"/>
      <c r="F968" s="14"/>
    </row>
    <row r="969">
      <c r="A969" s="13"/>
      <c r="B969" s="14"/>
      <c r="D969" s="15"/>
      <c r="E969" s="16"/>
      <c r="F969" s="14"/>
    </row>
    <row r="970">
      <c r="A970" s="13"/>
      <c r="B970" s="14"/>
      <c r="D970" s="15"/>
      <c r="E970" s="16"/>
      <c r="F970" s="14"/>
    </row>
    <row r="971">
      <c r="A971" s="13"/>
      <c r="B971" s="14"/>
      <c r="D971" s="15"/>
      <c r="E971" s="16"/>
      <c r="F971" s="14"/>
    </row>
    <row r="972">
      <c r="A972" s="13"/>
      <c r="B972" s="14"/>
      <c r="D972" s="15"/>
      <c r="E972" s="16"/>
      <c r="F972" s="14"/>
    </row>
    <row r="973">
      <c r="A973" s="13"/>
      <c r="B973" s="14"/>
      <c r="D973" s="15"/>
      <c r="E973" s="16"/>
      <c r="F973" s="14"/>
    </row>
    <row r="974">
      <c r="A974" s="13"/>
      <c r="B974" s="14"/>
      <c r="D974" s="15"/>
      <c r="E974" s="16"/>
      <c r="F974" s="14"/>
    </row>
    <row r="975">
      <c r="A975" s="13"/>
      <c r="B975" s="14"/>
      <c r="D975" s="15"/>
      <c r="E975" s="16"/>
      <c r="F975" s="14"/>
    </row>
    <row r="976">
      <c r="A976" s="13"/>
      <c r="B976" s="14"/>
      <c r="D976" s="15"/>
      <c r="E976" s="16"/>
      <c r="F976" s="14"/>
    </row>
    <row r="977">
      <c r="A977" s="13"/>
      <c r="B977" s="14"/>
      <c r="D977" s="15"/>
      <c r="E977" s="16"/>
      <c r="F977" s="14"/>
    </row>
    <row r="978">
      <c r="A978" s="13"/>
      <c r="B978" s="14"/>
      <c r="D978" s="15"/>
      <c r="E978" s="16"/>
      <c r="F978" s="14"/>
    </row>
    <row r="979">
      <c r="A979" s="13"/>
      <c r="B979" s="14"/>
      <c r="D979" s="15"/>
      <c r="E979" s="16"/>
      <c r="F979" s="14"/>
    </row>
    <row r="980">
      <c r="A980" s="13"/>
      <c r="B980" s="14"/>
      <c r="D980" s="15"/>
      <c r="E980" s="16"/>
      <c r="F980" s="14"/>
    </row>
    <row r="981">
      <c r="A981" s="13"/>
      <c r="B981" s="14"/>
      <c r="D981" s="15"/>
      <c r="E981" s="16"/>
      <c r="F981" s="14"/>
    </row>
    <row r="982">
      <c r="A982" s="13"/>
      <c r="B982" s="14"/>
      <c r="D982" s="15"/>
      <c r="E982" s="16"/>
      <c r="F982" s="14"/>
    </row>
    <row r="983">
      <c r="A983" s="13"/>
      <c r="B983" s="14"/>
      <c r="D983" s="15"/>
      <c r="E983" s="16"/>
      <c r="F983" s="14"/>
    </row>
    <row r="984">
      <c r="A984" s="13"/>
      <c r="B984" s="14"/>
      <c r="D984" s="15"/>
      <c r="E984" s="16"/>
      <c r="F984" s="14"/>
    </row>
    <row r="985">
      <c r="A985" s="13"/>
      <c r="B985" s="14"/>
      <c r="D985" s="15"/>
      <c r="E985" s="16"/>
      <c r="F985" s="14"/>
    </row>
    <row r="986">
      <c r="A986" s="13"/>
      <c r="B986" s="14"/>
      <c r="D986" s="15"/>
      <c r="E986" s="16"/>
      <c r="F986" s="14"/>
    </row>
    <row r="987">
      <c r="A987" s="13"/>
      <c r="B987" s="14"/>
      <c r="D987" s="15"/>
      <c r="E987" s="16"/>
      <c r="F987" s="14"/>
    </row>
    <row r="988">
      <c r="A988" s="13"/>
      <c r="B988" s="14"/>
      <c r="D988" s="15"/>
      <c r="E988" s="16"/>
      <c r="F988" s="14"/>
    </row>
    <row r="989">
      <c r="A989" s="13"/>
      <c r="B989" s="14"/>
      <c r="D989" s="15"/>
      <c r="E989" s="16"/>
      <c r="F989" s="14"/>
    </row>
    <row r="990">
      <c r="A990" s="13"/>
      <c r="B990" s="14"/>
      <c r="D990" s="15"/>
      <c r="E990" s="16"/>
      <c r="F990" s="14"/>
    </row>
    <row r="991">
      <c r="A991" s="13"/>
      <c r="B991" s="14"/>
      <c r="D991" s="15"/>
      <c r="E991" s="16"/>
      <c r="F991" s="14"/>
    </row>
    <row r="992">
      <c r="A992" s="13"/>
      <c r="B992" s="14"/>
      <c r="D992" s="15"/>
      <c r="E992" s="16"/>
      <c r="F992" s="14"/>
    </row>
    <row r="993">
      <c r="A993" s="13"/>
      <c r="B993" s="14"/>
      <c r="D993" s="15"/>
      <c r="E993" s="16"/>
      <c r="F993" s="14"/>
    </row>
    <row r="994">
      <c r="A994" s="13"/>
      <c r="B994" s="14"/>
      <c r="D994" s="15"/>
      <c r="E994" s="16"/>
      <c r="F994" s="14"/>
    </row>
    <row r="995">
      <c r="A995" s="13"/>
      <c r="B995" s="14"/>
      <c r="D995" s="15"/>
      <c r="E995" s="16"/>
      <c r="F995" s="14"/>
    </row>
    <row r="996">
      <c r="A996" s="13"/>
      <c r="B996" s="14"/>
      <c r="D996" s="15"/>
      <c r="E996" s="16"/>
      <c r="F996" s="14"/>
    </row>
    <row r="997">
      <c r="A997" s="13"/>
      <c r="B997" s="14"/>
      <c r="D997" s="15"/>
      <c r="E997" s="16"/>
      <c r="F997" s="14"/>
    </row>
    <row r="998">
      <c r="A998" s="13"/>
      <c r="B998" s="14"/>
      <c r="D998" s="15"/>
      <c r="E998" s="16"/>
      <c r="F998" s="14"/>
    </row>
    <row r="999">
      <c r="A999" s="13"/>
      <c r="B999" s="14"/>
      <c r="D999" s="15"/>
      <c r="E999" s="16"/>
      <c r="F999" s="14"/>
    </row>
    <row r="1000">
      <c r="A1000" s="13"/>
      <c r="B1000" s="14"/>
      <c r="D1000" s="15"/>
      <c r="E1000" s="16"/>
      <c r="F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0"/>
    <col customWidth="1" min="3" max="3" width="48.75"/>
    <col customWidth="1" min="4" max="6" width="27.0"/>
  </cols>
  <sheetData>
    <row r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1" t="s">
        <v>5</v>
      </c>
    </row>
    <row r="2">
      <c r="A2" s="6" t="s">
        <v>6</v>
      </c>
      <c r="B2" s="7">
        <v>1.250000116E9</v>
      </c>
      <c r="C2" s="8" t="s">
        <v>7</v>
      </c>
      <c r="D2" s="9">
        <v>45250.0</v>
      </c>
      <c r="E2" s="10">
        <v>4372.25</v>
      </c>
      <c r="F2" s="11" t="s">
        <v>9</v>
      </c>
      <c r="G2" s="12"/>
    </row>
    <row r="3">
      <c r="A3" s="6" t="s">
        <v>10</v>
      </c>
      <c r="B3" s="7">
        <v>1.250000505E9</v>
      </c>
      <c r="C3" s="8" t="s">
        <v>11</v>
      </c>
      <c r="D3" s="9">
        <v>45294.0</v>
      </c>
      <c r="E3" s="10">
        <v>1362.0</v>
      </c>
      <c r="F3" s="11" t="s">
        <v>13</v>
      </c>
    </row>
    <row r="4">
      <c r="A4" s="6" t="s">
        <v>14</v>
      </c>
      <c r="B4" s="7">
        <v>1.250001764E9</v>
      </c>
      <c r="C4" s="8" t="s">
        <v>15</v>
      </c>
      <c r="D4" s="9">
        <v>45294.0</v>
      </c>
      <c r="E4" s="10">
        <v>1500.0</v>
      </c>
      <c r="F4" s="11" t="s">
        <v>13</v>
      </c>
    </row>
    <row r="5">
      <c r="A5" s="6" t="s">
        <v>17</v>
      </c>
      <c r="B5" s="7">
        <v>1.250001496E9</v>
      </c>
      <c r="C5" s="8" t="s">
        <v>18</v>
      </c>
      <c r="D5" s="9">
        <v>45294.0</v>
      </c>
      <c r="E5" s="10">
        <v>1916.0</v>
      </c>
      <c r="F5" s="11" t="s">
        <v>13</v>
      </c>
    </row>
    <row r="6">
      <c r="A6" s="6" t="s">
        <v>20</v>
      </c>
      <c r="B6" s="7">
        <v>1.200006565E9</v>
      </c>
      <c r="C6" s="8" t="s">
        <v>21</v>
      </c>
      <c r="D6" s="9">
        <v>45294.0</v>
      </c>
      <c r="E6" s="10">
        <v>2148.8</v>
      </c>
      <c r="F6" s="11" t="s">
        <v>13</v>
      </c>
    </row>
    <row r="7">
      <c r="A7" s="6" t="s">
        <v>23</v>
      </c>
      <c r="B7" s="7">
        <v>1.250004966E9</v>
      </c>
      <c r="C7" s="8" t="s">
        <v>24</v>
      </c>
      <c r="D7" s="9">
        <v>45294.0</v>
      </c>
      <c r="E7" s="10">
        <v>2365.8</v>
      </c>
      <c r="F7" s="11" t="s">
        <v>13</v>
      </c>
    </row>
    <row r="8">
      <c r="A8" s="6" t="s">
        <v>26</v>
      </c>
      <c r="B8" s="7">
        <v>1.250001764E9</v>
      </c>
      <c r="C8" s="8" t="s">
        <v>15</v>
      </c>
      <c r="D8" s="9">
        <v>45294.0</v>
      </c>
      <c r="E8" s="10">
        <v>2367.5</v>
      </c>
      <c r="F8" s="11" t="s">
        <v>13</v>
      </c>
    </row>
    <row r="9">
      <c r="A9" s="6" t="s">
        <v>28</v>
      </c>
      <c r="B9" s="7">
        <v>1.250001142E9</v>
      </c>
      <c r="C9" s="8" t="s">
        <v>29</v>
      </c>
      <c r="D9" s="9">
        <v>45294.0</v>
      </c>
      <c r="E9" s="10">
        <v>38256.0</v>
      </c>
      <c r="F9" s="11" t="s">
        <v>9</v>
      </c>
    </row>
    <row r="10">
      <c r="A10" s="6" t="s">
        <v>31</v>
      </c>
      <c r="B10" s="7">
        <v>1.200006417E9</v>
      </c>
      <c r="C10" s="8" t="s">
        <v>32</v>
      </c>
      <c r="D10" s="9">
        <v>45295.0</v>
      </c>
      <c r="E10" s="10">
        <v>1500.0</v>
      </c>
      <c r="F10" s="11" t="s">
        <v>9</v>
      </c>
    </row>
    <row r="11">
      <c r="A11" s="6" t="s">
        <v>33</v>
      </c>
      <c r="B11" s="7">
        <v>1.250010315E9</v>
      </c>
      <c r="C11" s="8" t="s">
        <v>34</v>
      </c>
      <c r="D11" s="9">
        <v>45295.0</v>
      </c>
      <c r="E11" s="10">
        <v>1600.0</v>
      </c>
      <c r="F11" s="11" t="s">
        <v>13</v>
      </c>
    </row>
    <row r="12">
      <c r="A12" s="6" t="s">
        <v>36</v>
      </c>
      <c r="B12" s="7">
        <v>1.250004938E9</v>
      </c>
      <c r="C12" s="8" t="s">
        <v>37</v>
      </c>
      <c r="D12" s="9">
        <v>45295.0</v>
      </c>
      <c r="E12" s="10">
        <v>4762.1</v>
      </c>
      <c r="F12" s="11" t="s">
        <v>13</v>
      </c>
    </row>
    <row r="13">
      <c r="A13" s="6" t="s">
        <v>39</v>
      </c>
      <c r="B13" s="7">
        <v>1.250003997E9</v>
      </c>
      <c r="C13" s="8" t="s">
        <v>40</v>
      </c>
      <c r="D13" s="9">
        <v>45295.0</v>
      </c>
      <c r="E13" s="10">
        <v>5265.0</v>
      </c>
      <c r="F13" s="11" t="s">
        <v>13</v>
      </c>
    </row>
    <row r="14">
      <c r="A14" s="6" t="s">
        <v>42</v>
      </c>
      <c r="B14" s="7">
        <v>1.250003421E9</v>
      </c>
      <c r="C14" s="8" t="s">
        <v>43</v>
      </c>
      <c r="D14" s="9">
        <v>45295.0</v>
      </c>
      <c r="E14" s="10">
        <v>51900.0</v>
      </c>
      <c r="F14" s="11" t="s">
        <v>9</v>
      </c>
    </row>
    <row r="15">
      <c r="A15" s="6" t="s">
        <v>45</v>
      </c>
      <c r="B15" s="7">
        <v>1.200009067E9</v>
      </c>
      <c r="C15" s="8" t="s">
        <v>46</v>
      </c>
      <c r="D15" s="9">
        <v>45296.0</v>
      </c>
      <c r="E15" s="10">
        <v>2060.0</v>
      </c>
      <c r="F15" s="11" t="s">
        <v>13</v>
      </c>
    </row>
    <row r="16">
      <c r="A16" s="6" t="s">
        <v>48</v>
      </c>
      <c r="B16" s="7">
        <v>1.250000118E9</v>
      </c>
      <c r="C16" s="8" t="s">
        <v>49</v>
      </c>
      <c r="D16" s="9">
        <v>45296.0</v>
      </c>
      <c r="E16" s="10">
        <v>4097.5</v>
      </c>
      <c r="F16" s="11" t="s">
        <v>13</v>
      </c>
    </row>
    <row r="17">
      <c r="A17" s="6" t="s">
        <v>51</v>
      </c>
      <c r="B17" s="7">
        <v>1.250001741E9</v>
      </c>
      <c r="C17" s="8" t="s">
        <v>52</v>
      </c>
      <c r="D17" s="9">
        <v>45296.0</v>
      </c>
      <c r="E17" s="10">
        <v>6230.0</v>
      </c>
      <c r="F17" s="11" t="s">
        <v>9</v>
      </c>
    </row>
    <row r="18">
      <c r="A18" s="6" t="s">
        <v>54</v>
      </c>
      <c r="B18" s="7">
        <v>1.250001142E9</v>
      </c>
      <c r="C18" s="8" t="s">
        <v>29</v>
      </c>
      <c r="D18" s="9">
        <v>45296.0</v>
      </c>
      <c r="E18" s="10">
        <v>44970.0</v>
      </c>
      <c r="F18" s="11" t="s">
        <v>9</v>
      </c>
    </row>
    <row r="19">
      <c r="A19" s="6" t="s">
        <v>56</v>
      </c>
      <c r="B19" s="7">
        <v>1.200007688E9</v>
      </c>
      <c r="C19" s="8" t="s">
        <v>57</v>
      </c>
      <c r="D19" s="9">
        <v>45299.0</v>
      </c>
      <c r="E19" s="10">
        <v>525.3</v>
      </c>
      <c r="F19" s="11" t="s">
        <v>13</v>
      </c>
    </row>
    <row r="20">
      <c r="A20" s="6" t="s">
        <v>59</v>
      </c>
      <c r="B20" s="7">
        <v>1.250000913E9</v>
      </c>
      <c r="C20" s="8" t="s">
        <v>60</v>
      </c>
      <c r="D20" s="9">
        <v>45299.0</v>
      </c>
      <c r="E20" s="10">
        <v>2265.45</v>
      </c>
      <c r="F20" s="11" t="s">
        <v>13</v>
      </c>
    </row>
    <row r="21">
      <c r="A21" s="6" t="s">
        <v>62</v>
      </c>
      <c r="B21" s="7">
        <v>1.250010259E9</v>
      </c>
      <c r="C21" s="8" t="s">
        <v>63</v>
      </c>
      <c r="D21" s="9">
        <v>45299.0</v>
      </c>
      <c r="E21" s="10">
        <v>3256.0</v>
      </c>
      <c r="F21" s="11" t="s">
        <v>9</v>
      </c>
    </row>
    <row r="22">
      <c r="A22" s="6" t="s">
        <v>65</v>
      </c>
      <c r="B22" s="7">
        <v>1.250009502E9</v>
      </c>
      <c r="C22" s="8" t="s">
        <v>66</v>
      </c>
      <c r="D22" s="9">
        <v>45299.0</v>
      </c>
      <c r="E22" s="10">
        <v>4400.6</v>
      </c>
      <c r="F22" s="11" t="s">
        <v>13</v>
      </c>
    </row>
    <row r="23">
      <c r="A23" s="6" t="s">
        <v>68</v>
      </c>
      <c r="B23" s="7">
        <v>1.250010233E9</v>
      </c>
      <c r="C23" s="8" t="s">
        <v>69</v>
      </c>
      <c r="D23" s="9">
        <v>45299.0</v>
      </c>
      <c r="E23" s="10">
        <v>8254.15</v>
      </c>
      <c r="F23" s="11" t="s">
        <v>13</v>
      </c>
    </row>
    <row r="24">
      <c r="A24" s="6" t="s">
        <v>71</v>
      </c>
      <c r="B24" s="7">
        <v>1.250001764E9</v>
      </c>
      <c r="C24" s="8" t="s">
        <v>15</v>
      </c>
      <c r="D24" s="9">
        <v>45299.0</v>
      </c>
      <c r="E24" s="10">
        <v>111000.0</v>
      </c>
      <c r="F24" s="11" t="s">
        <v>13</v>
      </c>
    </row>
    <row r="25">
      <c r="A25" s="6" t="s">
        <v>73</v>
      </c>
      <c r="B25" s="7">
        <v>1.250001764E9</v>
      </c>
      <c r="C25" s="8" t="s">
        <v>15</v>
      </c>
      <c r="D25" s="9">
        <v>45300.0</v>
      </c>
      <c r="E25" s="10">
        <v>765.0</v>
      </c>
      <c r="F25" s="11" t="s">
        <v>13</v>
      </c>
    </row>
    <row r="26">
      <c r="A26" s="6" t="s">
        <v>75</v>
      </c>
      <c r="B26" s="7">
        <v>1.200007688E9</v>
      </c>
      <c r="C26" s="8" t="s">
        <v>57</v>
      </c>
      <c r="D26" s="9">
        <v>45300.0</v>
      </c>
      <c r="E26" s="10">
        <v>1525.0</v>
      </c>
      <c r="F26" s="11" t="s">
        <v>13</v>
      </c>
    </row>
    <row r="27">
      <c r="A27" s="6" t="s">
        <v>77</v>
      </c>
      <c r="B27" s="7">
        <v>1.200007688E9</v>
      </c>
      <c r="C27" s="8" t="s">
        <v>57</v>
      </c>
      <c r="D27" s="9">
        <v>45300.0</v>
      </c>
      <c r="E27" s="10">
        <v>1525.0</v>
      </c>
      <c r="F27" s="11" t="s">
        <v>13</v>
      </c>
    </row>
    <row r="28">
      <c r="A28" s="6" t="s">
        <v>78</v>
      </c>
      <c r="B28" s="7">
        <v>1.200007688E9</v>
      </c>
      <c r="C28" s="8" t="s">
        <v>57</v>
      </c>
      <c r="D28" s="9">
        <v>45300.0</v>
      </c>
      <c r="E28" s="10">
        <v>1525.0</v>
      </c>
      <c r="F28" s="11" t="s">
        <v>13</v>
      </c>
    </row>
    <row r="29">
      <c r="A29" s="6" t="s">
        <v>79</v>
      </c>
      <c r="B29" s="7">
        <v>1.200007688E9</v>
      </c>
      <c r="C29" s="8" t="s">
        <v>57</v>
      </c>
      <c r="D29" s="9">
        <v>45300.0</v>
      </c>
      <c r="E29" s="10">
        <v>1525.0</v>
      </c>
      <c r="F29" s="11" t="s">
        <v>13</v>
      </c>
    </row>
    <row r="30">
      <c r="A30" s="6" t="s">
        <v>80</v>
      </c>
      <c r="B30" s="7">
        <v>1.250002203E9</v>
      </c>
      <c r="C30" s="8" t="s">
        <v>81</v>
      </c>
      <c r="D30" s="9">
        <v>45300.0</v>
      </c>
      <c r="E30" s="10">
        <v>2050.0</v>
      </c>
      <c r="F30" s="11" t="s">
        <v>13</v>
      </c>
    </row>
    <row r="31">
      <c r="A31" s="6" t="s">
        <v>83</v>
      </c>
      <c r="B31" s="7">
        <v>1.250009745E9</v>
      </c>
      <c r="C31" s="8" t="s">
        <v>84</v>
      </c>
      <c r="D31" s="9">
        <v>45300.0</v>
      </c>
      <c r="E31" s="10">
        <v>3571.75</v>
      </c>
      <c r="F31" s="11" t="s">
        <v>13</v>
      </c>
    </row>
    <row r="32">
      <c r="A32" s="6" t="s">
        <v>86</v>
      </c>
      <c r="B32" s="7">
        <v>1.20000892E9</v>
      </c>
      <c r="C32" s="8" t="s">
        <v>295</v>
      </c>
      <c r="D32" s="9">
        <v>45301.0</v>
      </c>
      <c r="E32" s="10">
        <v>5151.0</v>
      </c>
      <c r="F32" s="11" t="s">
        <v>13</v>
      </c>
    </row>
    <row r="33">
      <c r="A33" s="6" t="s">
        <v>89</v>
      </c>
      <c r="B33" s="7">
        <v>1.20000789E9</v>
      </c>
      <c r="C33" s="8" t="s">
        <v>90</v>
      </c>
      <c r="D33" s="9">
        <v>45301.0</v>
      </c>
      <c r="E33" s="10">
        <v>7885.3</v>
      </c>
      <c r="F33" s="11" t="s">
        <v>13</v>
      </c>
    </row>
    <row r="34">
      <c r="A34" s="6" t="s">
        <v>92</v>
      </c>
      <c r="B34" s="7">
        <v>1.250009892E9</v>
      </c>
      <c r="C34" s="8" t="s">
        <v>93</v>
      </c>
      <c r="D34" s="9">
        <v>45301.0</v>
      </c>
      <c r="E34" s="10">
        <v>10250.5</v>
      </c>
      <c r="F34" s="11" t="s">
        <v>13</v>
      </c>
    </row>
    <row r="35">
      <c r="A35" s="6" t="s">
        <v>95</v>
      </c>
      <c r="B35" s="7">
        <v>1.250009892E9</v>
      </c>
      <c r="C35" s="8" t="s">
        <v>93</v>
      </c>
      <c r="D35" s="9">
        <v>45301.0</v>
      </c>
      <c r="E35" s="10">
        <v>16973.25</v>
      </c>
      <c r="F35" s="11" t="s">
        <v>13</v>
      </c>
    </row>
    <row r="36">
      <c r="A36" s="6" t="s">
        <v>97</v>
      </c>
      <c r="B36" s="7">
        <v>1.250010341E9</v>
      </c>
      <c r="C36" s="8" t="s">
        <v>98</v>
      </c>
      <c r="D36" s="9">
        <v>45302.0</v>
      </c>
      <c r="E36" s="10">
        <v>1154.0</v>
      </c>
      <c r="F36" s="11" t="s">
        <v>13</v>
      </c>
    </row>
    <row r="37">
      <c r="A37" s="6" t="s">
        <v>100</v>
      </c>
      <c r="B37" s="7">
        <v>1.250010341E9</v>
      </c>
      <c r="C37" s="8" t="s">
        <v>98</v>
      </c>
      <c r="D37" s="9">
        <v>45302.0</v>
      </c>
      <c r="E37" s="10">
        <v>3031.5</v>
      </c>
      <c r="F37" s="11" t="s">
        <v>13</v>
      </c>
    </row>
    <row r="38">
      <c r="A38" s="6" t="s">
        <v>102</v>
      </c>
      <c r="B38" s="7">
        <v>1.250001348E9</v>
      </c>
      <c r="C38" s="8" t="s">
        <v>103</v>
      </c>
      <c r="D38" s="9">
        <v>45302.0</v>
      </c>
      <c r="E38" s="10">
        <v>4490.4</v>
      </c>
      <c r="F38" s="11" t="s">
        <v>13</v>
      </c>
    </row>
    <row r="39">
      <c r="A39" s="6" t="s">
        <v>105</v>
      </c>
      <c r="B39" s="7">
        <v>1.250000034E9</v>
      </c>
      <c r="C39" s="8" t="s">
        <v>106</v>
      </c>
      <c r="D39" s="9">
        <v>45302.0</v>
      </c>
      <c r="E39" s="10">
        <v>10550.0</v>
      </c>
      <c r="F39" s="11" t="s">
        <v>9</v>
      </c>
    </row>
    <row r="40">
      <c r="A40" s="6" t="s">
        <v>108</v>
      </c>
      <c r="B40" s="7">
        <v>1.250009745E9</v>
      </c>
      <c r="C40" s="8" t="s">
        <v>84</v>
      </c>
      <c r="D40" s="9">
        <v>45303.0</v>
      </c>
      <c r="E40" s="10">
        <v>744.0</v>
      </c>
      <c r="F40" s="11" t="s">
        <v>13</v>
      </c>
    </row>
    <row r="41">
      <c r="A41" s="6" t="s">
        <v>110</v>
      </c>
      <c r="B41" s="7">
        <v>1.250004887E9</v>
      </c>
      <c r="C41" s="8" t="s">
        <v>111</v>
      </c>
      <c r="D41" s="9">
        <v>45303.0</v>
      </c>
      <c r="E41" s="10">
        <v>1873.1</v>
      </c>
      <c r="F41" s="11" t="s">
        <v>13</v>
      </c>
    </row>
    <row r="42">
      <c r="A42" s="6" t="s">
        <v>113</v>
      </c>
      <c r="B42" s="7">
        <v>1.250009745E9</v>
      </c>
      <c r="C42" s="8" t="s">
        <v>84</v>
      </c>
      <c r="D42" s="9">
        <v>45303.0</v>
      </c>
      <c r="E42" s="10">
        <v>1995.5</v>
      </c>
      <c r="F42" s="11" t="s">
        <v>13</v>
      </c>
    </row>
    <row r="43">
      <c r="A43" s="6" t="s">
        <v>115</v>
      </c>
      <c r="B43" s="7">
        <v>1.250003753E9</v>
      </c>
      <c r="C43" s="8" t="s">
        <v>116</v>
      </c>
      <c r="D43" s="9">
        <v>45303.0</v>
      </c>
      <c r="E43" s="10">
        <v>2113.6</v>
      </c>
      <c r="F43" s="11" t="s">
        <v>13</v>
      </c>
    </row>
    <row r="44">
      <c r="A44" s="6" t="s">
        <v>118</v>
      </c>
      <c r="B44" s="7">
        <v>1.250000438E9</v>
      </c>
      <c r="C44" s="8" t="s">
        <v>119</v>
      </c>
      <c r="D44" s="9">
        <v>45303.0</v>
      </c>
      <c r="E44" s="10">
        <v>4800.0</v>
      </c>
      <c r="F44" s="11" t="s">
        <v>9</v>
      </c>
    </row>
    <row r="45">
      <c r="A45" s="6" t="s">
        <v>121</v>
      </c>
      <c r="B45" s="7">
        <v>1.250001496E9</v>
      </c>
      <c r="C45" s="8" t="s">
        <v>18</v>
      </c>
      <c r="D45" s="9">
        <v>45304.0</v>
      </c>
      <c r="E45" s="10">
        <v>711.0</v>
      </c>
      <c r="F45" s="11" t="s">
        <v>13</v>
      </c>
    </row>
    <row r="46">
      <c r="A46" s="6" t="s">
        <v>123</v>
      </c>
      <c r="B46" s="7">
        <v>1.250001496E9</v>
      </c>
      <c r="C46" s="8" t="s">
        <v>18</v>
      </c>
      <c r="D46" s="9">
        <v>45304.0</v>
      </c>
      <c r="E46" s="10">
        <v>1289.35</v>
      </c>
      <c r="F46" s="11" t="s">
        <v>13</v>
      </c>
    </row>
    <row r="47">
      <c r="A47" s="6" t="s">
        <v>125</v>
      </c>
      <c r="B47" s="7">
        <v>1.250001496E9</v>
      </c>
      <c r="C47" s="8" t="s">
        <v>18</v>
      </c>
      <c r="D47" s="9">
        <v>45304.0</v>
      </c>
      <c r="E47" s="10">
        <v>1806.0</v>
      </c>
      <c r="F47" s="11" t="s">
        <v>13</v>
      </c>
    </row>
    <row r="48">
      <c r="A48" s="6" t="s">
        <v>127</v>
      </c>
      <c r="B48" s="7">
        <v>1.200007409E9</v>
      </c>
      <c r="C48" s="8" t="s">
        <v>128</v>
      </c>
      <c r="D48" s="9">
        <v>45306.0</v>
      </c>
      <c r="E48" s="10">
        <v>3700.8</v>
      </c>
      <c r="F48" s="11" t="s">
        <v>13</v>
      </c>
    </row>
    <row r="49">
      <c r="A49" s="6" t="s">
        <v>130</v>
      </c>
      <c r="B49" s="7">
        <v>1.250004371E9</v>
      </c>
      <c r="C49" s="8" t="s">
        <v>131</v>
      </c>
      <c r="D49" s="9">
        <v>45306.0</v>
      </c>
      <c r="E49" s="10">
        <v>3720.0</v>
      </c>
      <c r="F49" s="11" t="s">
        <v>13</v>
      </c>
    </row>
    <row r="50">
      <c r="A50" s="6" t="s">
        <v>133</v>
      </c>
      <c r="B50" s="7">
        <v>1.200008426E9</v>
      </c>
      <c r="C50" s="8" t="s">
        <v>424</v>
      </c>
      <c r="D50" s="9">
        <v>45306.0</v>
      </c>
      <c r="E50" s="10">
        <v>5500.0</v>
      </c>
      <c r="F50" s="11" t="s">
        <v>13</v>
      </c>
    </row>
    <row r="51">
      <c r="A51" s="6" t="s">
        <v>136</v>
      </c>
      <c r="B51" s="7">
        <v>1.250010348E9</v>
      </c>
      <c r="C51" s="8" t="s">
        <v>137</v>
      </c>
      <c r="D51" s="9">
        <v>45306.0</v>
      </c>
      <c r="E51" s="10">
        <v>15998.0</v>
      </c>
      <c r="F51" s="11" t="s">
        <v>139</v>
      </c>
    </row>
    <row r="52">
      <c r="A52" s="6" t="s">
        <v>140</v>
      </c>
      <c r="B52" s="7">
        <v>1.250001764E9</v>
      </c>
      <c r="C52" s="8" t="s">
        <v>15</v>
      </c>
      <c r="D52" s="9">
        <v>45307.0</v>
      </c>
      <c r="E52" s="10">
        <v>324.0</v>
      </c>
      <c r="F52" s="11" t="s">
        <v>13</v>
      </c>
    </row>
    <row r="53">
      <c r="A53" s="6" t="s">
        <v>142</v>
      </c>
      <c r="B53" s="7">
        <v>1.250004887E9</v>
      </c>
      <c r="C53" s="8" t="s">
        <v>111</v>
      </c>
      <c r="D53" s="9">
        <v>45307.0</v>
      </c>
      <c r="E53" s="10">
        <v>569.8</v>
      </c>
      <c r="F53" s="11" t="s">
        <v>13</v>
      </c>
    </row>
    <row r="54">
      <c r="A54" s="6" t="s">
        <v>144</v>
      </c>
      <c r="B54" s="7">
        <v>1.250001319E9</v>
      </c>
      <c r="C54" s="8" t="s">
        <v>145</v>
      </c>
      <c r="D54" s="9">
        <v>45307.0</v>
      </c>
      <c r="E54" s="10">
        <v>1172.0</v>
      </c>
      <c r="F54" s="11" t="s">
        <v>13</v>
      </c>
    </row>
    <row r="55">
      <c r="A55" s="6" t="s">
        <v>147</v>
      </c>
      <c r="B55" s="7">
        <v>1.250002059E9</v>
      </c>
      <c r="C55" s="8" t="s">
        <v>148</v>
      </c>
      <c r="D55" s="9">
        <v>45307.0</v>
      </c>
      <c r="E55" s="10">
        <v>2526.5</v>
      </c>
      <c r="F55" s="11" t="s">
        <v>13</v>
      </c>
    </row>
    <row r="56">
      <c r="A56" s="6" t="s">
        <v>150</v>
      </c>
      <c r="B56" s="7">
        <v>1.250001319E9</v>
      </c>
      <c r="C56" s="8" t="s">
        <v>145</v>
      </c>
      <c r="D56" s="9">
        <v>45307.0</v>
      </c>
      <c r="E56" s="10">
        <v>2759.8</v>
      </c>
      <c r="F56" s="11" t="s">
        <v>13</v>
      </c>
    </row>
    <row r="57">
      <c r="A57" s="6" t="s">
        <v>152</v>
      </c>
      <c r="B57" s="7">
        <v>1.250001319E9</v>
      </c>
      <c r="C57" s="8" t="s">
        <v>145</v>
      </c>
      <c r="D57" s="9">
        <v>45307.0</v>
      </c>
      <c r="E57" s="10">
        <v>3290.0</v>
      </c>
      <c r="F57" s="11" t="s">
        <v>13</v>
      </c>
    </row>
    <row r="58">
      <c r="A58" s="6" t="s">
        <v>154</v>
      </c>
      <c r="B58" s="7">
        <v>1.250003015E9</v>
      </c>
      <c r="C58" s="8" t="s">
        <v>155</v>
      </c>
      <c r="D58" s="9">
        <v>45307.0</v>
      </c>
      <c r="E58" s="10">
        <v>3818.7</v>
      </c>
      <c r="F58" s="11" t="s">
        <v>13</v>
      </c>
    </row>
    <row r="59">
      <c r="A59" s="6" t="s">
        <v>157</v>
      </c>
      <c r="B59" s="7">
        <v>1.250003015E9</v>
      </c>
      <c r="C59" s="8" t="s">
        <v>155</v>
      </c>
      <c r="D59" s="9">
        <v>45307.0</v>
      </c>
      <c r="E59" s="10">
        <v>4312.0</v>
      </c>
      <c r="F59" s="11" t="s">
        <v>13</v>
      </c>
    </row>
    <row r="60">
      <c r="A60" s="6" t="s">
        <v>159</v>
      </c>
      <c r="B60" s="7">
        <v>1.25000178E9</v>
      </c>
      <c r="C60" s="8" t="s">
        <v>160</v>
      </c>
      <c r="D60" s="9">
        <v>45308.0</v>
      </c>
      <c r="E60" s="10">
        <v>773.0</v>
      </c>
      <c r="F60" s="11" t="s">
        <v>13</v>
      </c>
    </row>
    <row r="61">
      <c r="A61" s="6" t="s">
        <v>162</v>
      </c>
      <c r="B61" s="7">
        <v>1.200008537E9</v>
      </c>
      <c r="C61" s="8" t="s">
        <v>163</v>
      </c>
      <c r="D61" s="9">
        <v>45308.0</v>
      </c>
      <c r="E61" s="10">
        <v>2586.0</v>
      </c>
      <c r="F61" s="11" t="s">
        <v>13</v>
      </c>
    </row>
    <row r="62">
      <c r="A62" s="6" t="s">
        <v>165</v>
      </c>
      <c r="B62" s="7">
        <v>1.250009423E9</v>
      </c>
      <c r="C62" s="8" t="s">
        <v>166</v>
      </c>
      <c r="D62" s="9">
        <v>45308.0</v>
      </c>
      <c r="E62" s="10">
        <v>3382.85</v>
      </c>
      <c r="F62" s="11" t="s">
        <v>13</v>
      </c>
    </row>
    <row r="63">
      <c r="A63" s="6" t="s">
        <v>168</v>
      </c>
      <c r="B63" s="7">
        <v>1.200006917E9</v>
      </c>
      <c r="C63" s="8" t="s">
        <v>513</v>
      </c>
      <c r="D63" s="9">
        <v>45308.0</v>
      </c>
      <c r="E63" s="10">
        <v>4384.5</v>
      </c>
      <c r="F63" s="11" t="s">
        <v>13</v>
      </c>
    </row>
    <row r="64">
      <c r="A64" s="6" t="s">
        <v>171</v>
      </c>
      <c r="B64" s="7">
        <v>1.250002653E9</v>
      </c>
      <c r="C64" s="8" t="s">
        <v>172</v>
      </c>
      <c r="D64" s="9">
        <v>45308.0</v>
      </c>
      <c r="E64" s="10">
        <v>5596.0</v>
      </c>
      <c r="F64" s="11" t="s">
        <v>13</v>
      </c>
    </row>
    <row r="65">
      <c r="A65" s="6" t="s">
        <v>174</v>
      </c>
      <c r="B65" s="7">
        <v>1.250001178E9</v>
      </c>
      <c r="C65" s="8" t="s">
        <v>175</v>
      </c>
      <c r="D65" s="9">
        <v>45309.0</v>
      </c>
      <c r="E65" s="10">
        <v>3488.5</v>
      </c>
      <c r="F65" s="11" t="s">
        <v>13</v>
      </c>
    </row>
    <row r="66">
      <c r="A66" s="6" t="s">
        <v>177</v>
      </c>
      <c r="B66" s="7">
        <v>1.250004411E9</v>
      </c>
      <c r="C66" s="8" t="s">
        <v>178</v>
      </c>
      <c r="D66" s="9">
        <v>45309.0</v>
      </c>
      <c r="E66" s="10">
        <v>5588.5</v>
      </c>
      <c r="F66" s="11" t="s">
        <v>13</v>
      </c>
    </row>
    <row r="67">
      <c r="A67" s="6" t="s">
        <v>180</v>
      </c>
      <c r="B67" s="7">
        <v>1.200007752E9</v>
      </c>
      <c r="C67" s="8" t="s">
        <v>181</v>
      </c>
      <c r="D67" s="9">
        <v>45309.0</v>
      </c>
      <c r="E67" s="10">
        <v>28093.6</v>
      </c>
      <c r="F67" s="11" t="s">
        <v>13</v>
      </c>
    </row>
    <row r="68">
      <c r="A68" s="6" t="s">
        <v>183</v>
      </c>
      <c r="B68" s="7">
        <v>1.220000614E9</v>
      </c>
      <c r="C68" s="8" t="s">
        <v>184</v>
      </c>
      <c r="D68" s="9">
        <v>45310.0</v>
      </c>
      <c r="E68" s="10">
        <v>1762.0</v>
      </c>
      <c r="F68" s="11" t="s">
        <v>13</v>
      </c>
    </row>
    <row r="69">
      <c r="A69" s="6" t="s">
        <v>186</v>
      </c>
      <c r="B69" s="7">
        <v>1.200007686E9</v>
      </c>
      <c r="C69" s="8" t="s">
        <v>187</v>
      </c>
      <c r="D69" s="9">
        <v>45310.0</v>
      </c>
      <c r="E69" s="10">
        <v>4819.0</v>
      </c>
      <c r="F69" s="11" t="s">
        <v>13</v>
      </c>
    </row>
    <row r="70">
      <c r="A70" s="6" t="s">
        <v>189</v>
      </c>
      <c r="B70" s="7">
        <v>1.250000164E9</v>
      </c>
      <c r="C70" s="8" t="s">
        <v>190</v>
      </c>
      <c r="D70" s="9">
        <v>45313.0</v>
      </c>
      <c r="E70" s="10">
        <v>779.25</v>
      </c>
      <c r="F70" s="11" t="s">
        <v>13</v>
      </c>
    </row>
    <row r="71">
      <c r="A71" s="6" t="s">
        <v>192</v>
      </c>
      <c r="B71" s="7">
        <v>1.200008786E9</v>
      </c>
      <c r="C71" s="8" t="s">
        <v>193</v>
      </c>
      <c r="D71" s="9">
        <v>45313.0</v>
      </c>
      <c r="E71" s="10">
        <v>1710.3</v>
      </c>
      <c r="F71" s="11" t="s">
        <v>13</v>
      </c>
    </row>
    <row r="72">
      <c r="A72" s="6" t="s">
        <v>195</v>
      </c>
      <c r="B72" s="7">
        <v>1.200006917E9</v>
      </c>
      <c r="C72" s="8" t="s">
        <v>513</v>
      </c>
      <c r="D72" s="9">
        <v>45313.0</v>
      </c>
      <c r="E72" s="10">
        <v>2200.0</v>
      </c>
      <c r="F72" s="11" t="s">
        <v>13</v>
      </c>
    </row>
    <row r="73">
      <c r="A73" s="6" t="s">
        <v>197</v>
      </c>
      <c r="B73" s="7">
        <v>1.250002653E9</v>
      </c>
      <c r="C73" s="8" t="s">
        <v>172</v>
      </c>
      <c r="D73" s="9">
        <v>45313.0</v>
      </c>
      <c r="E73" s="10">
        <v>3251.0</v>
      </c>
      <c r="F73" s="11" t="s">
        <v>13</v>
      </c>
    </row>
    <row r="74">
      <c r="A74" s="6" t="s">
        <v>199</v>
      </c>
      <c r="B74" s="7">
        <v>1.250005019E9</v>
      </c>
      <c r="C74" s="8" t="s">
        <v>200</v>
      </c>
      <c r="D74" s="9">
        <v>45313.0</v>
      </c>
      <c r="E74" s="10">
        <v>10168.0</v>
      </c>
      <c r="F74" s="11" t="s">
        <v>13</v>
      </c>
    </row>
    <row r="75">
      <c r="A75" s="6" t="s">
        <v>202</v>
      </c>
      <c r="B75" s="7">
        <v>1.250005019E9</v>
      </c>
      <c r="C75" s="8" t="s">
        <v>200</v>
      </c>
      <c r="D75" s="9">
        <v>45313.0</v>
      </c>
      <c r="E75" s="10">
        <v>10316.4</v>
      </c>
      <c r="F75" s="11" t="s">
        <v>13</v>
      </c>
    </row>
    <row r="76">
      <c r="A76" s="6" t="s">
        <v>204</v>
      </c>
      <c r="B76" s="7">
        <v>1.250009576E9</v>
      </c>
      <c r="C76" s="8" t="s">
        <v>205</v>
      </c>
      <c r="D76" s="9">
        <v>45313.0</v>
      </c>
      <c r="E76" s="10">
        <v>21920.0</v>
      </c>
      <c r="F76" s="11" t="s">
        <v>13</v>
      </c>
    </row>
    <row r="77">
      <c r="A77" s="6" t="s">
        <v>207</v>
      </c>
      <c r="B77" s="7">
        <v>1.200007818E9</v>
      </c>
      <c r="C77" s="8" t="s">
        <v>208</v>
      </c>
      <c r="D77" s="9">
        <v>45313.0</v>
      </c>
      <c r="E77" s="10">
        <v>27978.0</v>
      </c>
      <c r="F77" s="11" t="s">
        <v>9</v>
      </c>
    </row>
    <row r="78">
      <c r="A78" s="6" t="s">
        <v>210</v>
      </c>
      <c r="B78" s="7">
        <v>1.250001764E9</v>
      </c>
      <c r="C78" s="8" t="s">
        <v>15</v>
      </c>
      <c r="D78" s="9">
        <v>45314.0</v>
      </c>
      <c r="E78" s="10">
        <v>240.0</v>
      </c>
      <c r="F78" s="11" t="s">
        <v>13</v>
      </c>
    </row>
    <row r="79">
      <c r="A79" s="6" t="s">
        <v>212</v>
      </c>
      <c r="B79" s="7">
        <v>1.250010352E9</v>
      </c>
      <c r="C79" s="8" t="s">
        <v>515</v>
      </c>
      <c r="D79" s="9">
        <v>45314.0</v>
      </c>
      <c r="E79" s="10">
        <v>799.0</v>
      </c>
      <c r="F79" s="11" t="s">
        <v>139</v>
      </c>
    </row>
    <row r="80">
      <c r="A80" s="6" t="s">
        <v>215</v>
      </c>
      <c r="B80" s="7">
        <v>1.250001276E9</v>
      </c>
      <c r="C80" s="8" t="s">
        <v>216</v>
      </c>
      <c r="D80" s="9">
        <v>45314.0</v>
      </c>
      <c r="E80" s="10">
        <v>1316.0</v>
      </c>
      <c r="F80" s="11" t="s">
        <v>9</v>
      </c>
    </row>
    <row r="81">
      <c r="A81" s="6" t="s">
        <v>218</v>
      </c>
      <c r="B81" s="7">
        <v>1.250001764E9</v>
      </c>
      <c r="C81" s="8" t="s">
        <v>15</v>
      </c>
      <c r="D81" s="9">
        <v>45314.0</v>
      </c>
      <c r="E81" s="10">
        <v>2122.0</v>
      </c>
      <c r="F81" s="11" t="s">
        <v>13</v>
      </c>
    </row>
    <row r="82">
      <c r="A82" s="6" t="s">
        <v>220</v>
      </c>
      <c r="B82" s="7">
        <v>1.200008869E9</v>
      </c>
      <c r="C82" s="8" t="s">
        <v>221</v>
      </c>
      <c r="D82" s="9">
        <v>45314.0</v>
      </c>
      <c r="E82" s="10">
        <v>2485.85</v>
      </c>
      <c r="F82" s="11" t="s">
        <v>13</v>
      </c>
    </row>
    <row r="83">
      <c r="A83" s="6" t="s">
        <v>223</v>
      </c>
      <c r="B83" s="7">
        <v>1.200008243E9</v>
      </c>
      <c r="C83" s="8" t="s">
        <v>224</v>
      </c>
      <c r="D83" s="9">
        <v>45314.0</v>
      </c>
      <c r="E83" s="10">
        <v>7782.5</v>
      </c>
      <c r="F83" s="11" t="s">
        <v>13</v>
      </c>
    </row>
    <row r="84">
      <c r="A84" s="6" t="s">
        <v>226</v>
      </c>
      <c r="B84" s="7">
        <v>1.250009576E9</v>
      </c>
      <c r="C84" s="8" t="s">
        <v>205</v>
      </c>
      <c r="D84" s="9">
        <v>45314.0</v>
      </c>
      <c r="E84" s="10">
        <v>13562.7</v>
      </c>
      <c r="F84" s="11" t="s">
        <v>13</v>
      </c>
    </row>
    <row r="85">
      <c r="A85" s="6" t="s">
        <v>228</v>
      </c>
      <c r="B85" s="7">
        <v>1.250001142E9</v>
      </c>
      <c r="C85" s="8" t="s">
        <v>29</v>
      </c>
      <c r="D85" s="9">
        <v>45314.0</v>
      </c>
      <c r="E85" s="10">
        <v>16200.0</v>
      </c>
      <c r="F85" s="11" t="s">
        <v>9</v>
      </c>
    </row>
    <row r="86">
      <c r="A86" s="6" t="s">
        <v>230</v>
      </c>
      <c r="B86" s="7">
        <v>1.250002423E9</v>
      </c>
      <c r="C86" s="8" t="s">
        <v>231</v>
      </c>
      <c r="D86" s="9">
        <v>45314.0</v>
      </c>
      <c r="E86" s="10">
        <v>33650.0</v>
      </c>
      <c r="F86" s="11" t="s">
        <v>9</v>
      </c>
    </row>
    <row r="87">
      <c r="A87" s="6" t="s">
        <v>233</v>
      </c>
      <c r="B87" s="7">
        <v>1.250001142E9</v>
      </c>
      <c r="C87" s="8" t="s">
        <v>29</v>
      </c>
      <c r="D87" s="9">
        <v>45314.0</v>
      </c>
      <c r="E87" s="10">
        <v>47250.0</v>
      </c>
      <c r="F87" s="11" t="s">
        <v>9</v>
      </c>
    </row>
    <row r="88">
      <c r="A88" s="6" t="s">
        <v>235</v>
      </c>
      <c r="B88" s="7">
        <v>1.250001764E9</v>
      </c>
      <c r="C88" s="8" t="s">
        <v>15</v>
      </c>
      <c r="D88" s="9">
        <v>45314.0</v>
      </c>
      <c r="E88" s="10">
        <v>105000.0</v>
      </c>
      <c r="F88" s="11" t="s">
        <v>13</v>
      </c>
    </row>
    <row r="89">
      <c r="A89" s="6" t="s">
        <v>237</v>
      </c>
      <c r="B89" s="7">
        <v>1.250000438E9</v>
      </c>
      <c r="C89" s="8" t="s">
        <v>119</v>
      </c>
      <c r="D89" s="9">
        <v>45315.0</v>
      </c>
      <c r="E89" s="10">
        <v>1048.0</v>
      </c>
      <c r="F89" s="11" t="s">
        <v>9</v>
      </c>
    </row>
    <row r="90">
      <c r="A90" s="6" t="s">
        <v>239</v>
      </c>
      <c r="B90" s="7">
        <v>1.250000147E9</v>
      </c>
      <c r="C90" s="8" t="s">
        <v>240</v>
      </c>
      <c r="D90" s="9">
        <v>45315.0</v>
      </c>
      <c r="E90" s="10">
        <v>1100.0</v>
      </c>
      <c r="F90" s="11" t="s">
        <v>13</v>
      </c>
    </row>
    <row r="91">
      <c r="A91" s="6" t="s">
        <v>242</v>
      </c>
      <c r="B91" s="7">
        <v>1.200007752E9</v>
      </c>
      <c r="C91" s="8" t="s">
        <v>181</v>
      </c>
      <c r="D91" s="9">
        <v>45315.0</v>
      </c>
      <c r="E91" s="10">
        <v>1686.0</v>
      </c>
      <c r="F91" s="11" t="s">
        <v>13</v>
      </c>
    </row>
    <row r="92">
      <c r="A92" s="6" t="s">
        <v>244</v>
      </c>
      <c r="B92" s="7">
        <v>1.250000629E9</v>
      </c>
      <c r="C92" s="8" t="s">
        <v>245</v>
      </c>
      <c r="D92" s="9">
        <v>45315.0</v>
      </c>
      <c r="E92" s="10">
        <v>4562.0</v>
      </c>
      <c r="F92" s="11" t="s">
        <v>9</v>
      </c>
    </row>
    <row r="93">
      <c r="A93" s="6" t="s">
        <v>247</v>
      </c>
      <c r="B93" s="7">
        <v>1.250000629E9</v>
      </c>
      <c r="C93" s="8" t="s">
        <v>245</v>
      </c>
      <c r="D93" s="9">
        <v>45315.0</v>
      </c>
      <c r="E93" s="10">
        <v>4700.0</v>
      </c>
      <c r="F93" s="11" t="s">
        <v>9</v>
      </c>
    </row>
    <row r="94">
      <c r="A94" s="6" t="s">
        <v>249</v>
      </c>
      <c r="B94" s="7">
        <v>1.250000438E9</v>
      </c>
      <c r="C94" s="8" t="s">
        <v>119</v>
      </c>
      <c r="D94" s="9">
        <v>45315.0</v>
      </c>
      <c r="E94" s="10">
        <v>11901.4</v>
      </c>
      <c r="F94" s="11" t="s">
        <v>9</v>
      </c>
    </row>
    <row r="95">
      <c r="A95" s="6" t="s">
        <v>251</v>
      </c>
      <c r="B95" s="7">
        <v>1.250000255E9</v>
      </c>
      <c r="C95" s="8" t="s">
        <v>252</v>
      </c>
      <c r="D95" s="9">
        <v>45315.0</v>
      </c>
      <c r="E95" s="10">
        <v>12300.0</v>
      </c>
      <c r="F95" s="11" t="s">
        <v>9</v>
      </c>
    </row>
    <row r="96">
      <c r="A96" s="6" t="s">
        <v>254</v>
      </c>
      <c r="B96" s="7">
        <v>1.250003683E9</v>
      </c>
      <c r="C96" s="8" t="s">
        <v>255</v>
      </c>
      <c r="D96" s="9">
        <v>45315.0</v>
      </c>
      <c r="E96" s="10">
        <v>13000.0</v>
      </c>
      <c r="F96" s="11" t="s">
        <v>13</v>
      </c>
    </row>
    <row r="97">
      <c r="A97" s="6" t="s">
        <v>257</v>
      </c>
      <c r="B97" s="7">
        <v>1.250000438E9</v>
      </c>
      <c r="C97" s="8" t="s">
        <v>119</v>
      </c>
      <c r="D97" s="9">
        <v>45315.0</v>
      </c>
      <c r="E97" s="10">
        <v>16466.0</v>
      </c>
      <c r="F97" s="11" t="s">
        <v>9</v>
      </c>
    </row>
    <row r="98">
      <c r="A98" s="6" t="s">
        <v>259</v>
      </c>
      <c r="B98" s="7">
        <v>1.250000438E9</v>
      </c>
      <c r="C98" s="8" t="s">
        <v>119</v>
      </c>
      <c r="D98" s="9">
        <v>45315.0</v>
      </c>
      <c r="E98" s="10">
        <v>18387.75</v>
      </c>
      <c r="F98" s="11" t="s">
        <v>9</v>
      </c>
    </row>
    <row r="99">
      <c r="A99" s="6" t="s">
        <v>261</v>
      </c>
      <c r="B99" s="7">
        <v>1.250002297E9</v>
      </c>
      <c r="C99" s="8" t="s">
        <v>262</v>
      </c>
      <c r="D99" s="9">
        <v>45316.0</v>
      </c>
      <c r="E99" s="10">
        <v>966.0</v>
      </c>
      <c r="F99" s="11" t="s">
        <v>9</v>
      </c>
    </row>
    <row r="100">
      <c r="A100" s="6" t="s">
        <v>264</v>
      </c>
      <c r="B100" s="7">
        <v>1.200008027E9</v>
      </c>
      <c r="C100" s="8" t="s">
        <v>265</v>
      </c>
      <c r="D100" s="9">
        <v>45316.0</v>
      </c>
      <c r="E100" s="10">
        <v>2200.0</v>
      </c>
      <c r="F100" s="11" t="s">
        <v>13</v>
      </c>
    </row>
    <row r="101">
      <c r="A101" s="6" t="s">
        <v>266</v>
      </c>
      <c r="B101" s="7">
        <v>1.200008447E9</v>
      </c>
      <c r="C101" s="8" t="s">
        <v>267</v>
      </c>
      <c r="D101" s="9">
        <v>45316.0</v>
      </c>
      <c r="E101" s="10">
        <v>19060.5</v>
      </c>
      <c r="F101" s="11" t="s">
        <v>13</v>
      </c>
    </row>
    <row r="102">
      <c r="A102" s="6" t="s">
        <v>269</v>
      </c>
      <c r="B102" s="7">
        <v>1.250010361E9</v>
      </c>
      <c r="C102" s="8" t="s">
        <v>270</v>
      </c>
      <c r="D102" s="9">
        <v>45317.0</v>
      </c>
      <c r="E102" s="10">
        <v>1099.0</v>
      </c>
      <c r="F102" s="11" t="s">
        <v>139</v>
      </c>
    </row>
    <row r="103">
      <c r="A103" s="6" t="s">
        <v>272</v>
      </c>
      <c r="B103" s="7">
        <v>1.25000382E9</v>
      </c>
      <c r="C103" s="8" t="s">
        <v>273</v>
      </c>
      <c r="D103" s="9">
        <v>45317.0</v>
      </c>
      <c r="E103" s="10">
        <v>3280.0</v>
      </c>
      <c r="F103" s="11" t="s">
        <v>13</v>
      </c>
    </row>
    <row r="104">
      <c r="A104" s="6" t="s">
        <v>275</v>
      </c>
      <c r="B104" s="7">
        <v>1.250001434E9</v>
      </c>
      <c r="C104" s="8" t="s">
        <v>276</v>
      </c>
      <c r="D104" s="9">
        <v>45317.0</v>
      </c>
      <c r="E104" s="10">
        <v>5900.0</v>
      </c>
      <c r="F104" s="11" t="s">
        <v>9</v>
      </c>
    </row>
    <row r="105">
      <c r="A105" s="6" t="s">
        <v>278</v>
      </c>
      <c r="B105" s="7">
        <v>1.250001628E9</v>
      </c>
      <c r="C105" s="8" t="s">
        <v>279</v>
      </c>
      <c r="D105" s="9">
        <v>45317.0</v>
      </c>
      <c r="E105" s="10">
        <v>10831.5</v>
      </c>
      <c r="F105" s="11" t="s">
        <v>13</v>
      </c>
    </row>
    <row r="106">
      <c r="A106" s="6" t="s">
        <v>281</v>
      </c>
      <c r="B106" s="7">
        <v>1.200006583E9</v>
      </c>
      <c r="C106" s="8" t="s">
        <v>282</v>
      </c>
      <c r="D106" s="9">
        <v>45318.0</v>
      </c>
      <c r="E106" s="10">
        <v>903.92</v>
      </c>
      <c r="F106" s="11" t="s">
        <v>13</v>
      </c>
    </row>
    <row r="107">
      <c r="A107" s="6" t="s">
        <v>284</v>
      </c>
      <c r="B107" s="7">
        <v>1.250000535E9</v>
      </c>
      <c r="C107" s="8" t="s">
        <v>285</v>
      </c>
      <c r="D107" s="9">
        <v>45318.0</v>
      </c>
      <c r="E107" s="10">
        <v>1804.0</v>
      </c>
      <c r="F107" s="11" t="s">
        <v>13</v>
      </c>
    </row>
    <row r="108">
      <c r="A108" s="6" t="s">
        <v>287</v>
      </c>
      <c r="B108" s="7">
        <v>1.250003004E9</v>
      </c>
      <c r="C108" s="8" t="s">
        <v>288</v>
      </c>
      <c r="D108" s="9">
        <v>45320.0</v>
      </c>
      <c r="E108" s="10">
        <v>7650.0</v>
      </c>
      <c r="F108" s="11" t="s">
        <v>13</v>
      </c>
    </row>
    <row r="109">
      <c r="A109" s="6" t="s">
        <v>290</v>
      </c>
      <c r="B109" s="7">
        <v>1.200008365E9</v>
      </c>
      <c r="C109" s="8" t="s">
        <v>291</v>
      </c>
      <c r="D109" s="9">
        <v>45320.0</v>
      </c>
      <c r="E109" s="10">
        <v>8128.0</v>
      </c>
      <c r="F109" s="11" t="s">
        <v>13</v>
      </c>
    </row>
    <row r="110">
      <c r="A110" s="6" t="s">
        <v>293</v>
      </c>
      <c r="B110" s="7">
        <v>1.250009301E9</v>
      </c>
      <c r="C110" s="8" t="s">
        <v>294</v>
      </c>
      <c r="D110" s="9">
        <v>45320.0</v>
      </c>
      <c r="E110" s="10">
        <v>17417.0</v>
      </c>
      <c r="F110" s="11" t="s">
        <v>13</v>
      </c>
    </row>
    <row r="111">
      <c r="A111" s="6" t="s">
        <v>297</v>
      </c>
      <c r="B111" s="7">
        <v>1.250000104E9</v>
      </c>
      <c r="C111" s="8" t="s">
        <v>298</v>
      </c>
      <c r="D111" s="9">
        <v>45320.0</v>
      </c>
      <c r="E111" s="10">
        <v>22725.0</v>
      </c>
      <c r="F111" s="11" t="s">
        <v>9</v>
      </c>
    </row>
    <row r="112">
      <c r="A112" s="6" t="s">
        <v>300</v>
      </c>
      <c r="B112" s="7">
        <v>1.200006187E9</v>
      </c>
      <c r="C112" s="8" t="s">
        <v>301</v>
      </c>
      <c r="D112" s="9">
        <v>45320.0</v>
      </c>
      <c r="E112" s="10">
        <v>45360.0</v>
      </c>
      <c r="F112" s="11" t="s">
        <v>9</v>
      </c>
    </row>
    <row r="113">
      <c r="A113" s="6" t="s">
        <v>303</v>
      </c>
      <c r="B113" s="7">
        <v>1.250009502E9</v>
      </c>
      <c r="C113" s="8" t="s">
        <v>66</v>
      </c>
      <c r="D113" s="9">
        <v>45321.0</v>
      </c>
      <c r="E113" s="10">
        <v>990.0</v>
      </c>
      <c r="F113" s="11" t="s">
        <v>13</v>
      </c>
    </row>
    <row r="114">
      <c r="A114" s="6" t="s">
        <v>305</v>
      </c>
      <c r="B114" s="7">
        <v>1.200008778E9</v>
      </c>
      <c r="C114" s="8" t="s">
        <v>306</v>
      </c>
      <c r="D114" s="9">
        <v>45321.0</v>
      </c>
      <c r="E114" s="10">
        <v>3305.0</v>
      </c>
      <c r="F114" s="11" t="s">
        <v>13</v>
      </c>
    </row>
    <row r="115">
      <c r="A115" s="6" t="s">
        <v>308</v>
      </c>
      <c r="B115" s="7">
        <v>1.250009502E9</v>
      </c>
      <c r="C115" s="8" t="s">
        <v>66</v>
      </c>
      <c r="D115" s="9">
        <v>45321.0</v>
      </c>
      <c r="E115" s="10">
        <v>4807.0</v>
      </c>
      <c r="F115" s="11" t="s">
        <v>13</v>
      </c>
    </row>
    <row r="116">
      <c r="A116" s="6" t="s">
        <v>310</v>
      </c>
      <c r="B116" s="7">
        <v>1.250009502E9</v>
      </c>
      <c r="C116" s="8" t="s">
        <v>66</v>
      </c>
      <c r="D116" s="9">
        <v>45321.0</v>
      </c>
      <c r="E116" s="10">
        <v>5732.0</v>
      </c>
      <c r="F116" s="11" t="s">
        <v>13</v>
      </c>
    </row>
    <row r="117">
      <c r="A117" s="6" t="s">
        <v>312</v>
      </c>
      <c r="B117" s="7">
        <v>1.250010029E9</v>
      </c>
      <c r="C117" s="8" t="s">
        <v>313</v>
      </c>
      <c r="D117" s="9">
        <v>45321.0</v>
      </c>
      <c r="E117" s="10">
        <v>10990.0</v>
      </c>
      <c r="F117" s="11" t="s">
        <v>13</v>
      </c>
    </row>
    <row r="118">
      <c r="A118" s="6" t="s">
        <v>315</v>
      </c>
      <c r="B118" s="7">
        <v>1.25000339E9</v>
      </c>
      <c r="C118" s="8" t="s">
        <v>316</v>
      </c>
      <c r="D118" s="9">
        <v>45322.0</v>
      </c>
      <c r="E118" s="10">
        <v>4236.55</v>
      </c>
      <c r="F118" s="11" t="s">
        <v>13</v>
      </c>
    </row>
    <row r="119">
      <c r="A119" s="6" t="s">
        <v>318</v>
      </c>
      <c r="B119" s="7">
        <v>1.250001764E9</v>
      </c>
      <c r="C119" s="8" t="s">
        <v>15</v>
      </c>
      <c r="D119" s="9">
        <v>45322.0</v>
      </c>
      <c r="E119" s="10">
        <v>7140.0</v>
      </c>
      <c r="F119" s="11" t="s">
        <v>13</v>
      </c>
    </row>
    <row r="120">
      <c r="A120" s="6" t="s">
        <v>320</v>
      </c>
      <c r="B120" s="7">
        <v>1.250010303E9</v>
      </c>
      <c r="C120" s="8" t="s">
        <v>321</v>
      </c>
      <c r="D120" s="9">
        <v>45322.0</v>
      </c>
      <c r="E120" s="10">
        <v>365925.0</v>
      </c>
      <c r="F120" s="11" t="s">
        <v>13</v>
      </c>
    </row>
    <row r="121">
      <c r="A121" s="6" t="s">
        <v>323</v>
      </c>
      <c r="B121" s="7">
        <v>1.25000178E9</v>
      </c>
      <c r="C121" s="8" t="s">
        <v>160</v>
      </c>
      <c r="D121" s="9">
        <v>45323.0</v>
      </c>
      <c r="E121" s="10">
        <v>227.0</v>
      </c>
      <c r="F121" s="11" t="s">
        <v>13</v>
      </c>
    </row>
    <row r="122">
      <c r="A122" s="6" t="s">
        <v>325</v>
      </c>
      <c r="B122" s="7">
        <v>1.2500031E9</v>
      </c>
      <c r="C122" s="8" t="s">
        <v>326</v>
      </c>
      <c r="D122" s="9">
        <v>45323.0</v>
      </c>
      <c r="E122" s="10">
        <v>1537.2</v>
      </c>
      <c r="F122" s="11" t="s">
        <v>13</v>
      </c>
    </row>
    <row r="123">
      <c r="A123" s="6" t="s">
        <v>328</v>
      </c>
      <c r="B123" s="7">
        <v>1.25000178E9</v>
      </c>
      <c r="C123" s="8" t="s">
        <v>160</v>
      </c>
      <c r="D123" s="9">
        <v>45323.0</v>
      </c>
      <c r="E123" s="10">
        <v>3157.0</v>
      </c>
      <c r="F123" s="11" t="s">
        <v>13</v>
      </c>
    </row>
    <row r="124">
      <c r="A124" s="6" t="s">
        <v>330</v>
      </c>
      <c r="B124" s="7">
        <v>1.250009892E9</v>
      </c>
      <c r="C124" s="8" t="s">
        <v>93</v>
      </c>
      <c r="D124" s="9">
        <v>45323.0</v>
      </c>
      <c r="E124" s="10">
        <v>6180.5</v>
      </c>
      <c r="F124" s="11" t="s">
        <v>13</v>
      </c>
    </row>
    <row r="125">
      <c r="A125" s="6" t="s">
        <v>332</v>
      </c>
      <c r="B125" s="7">
        <v>1.250001755E9</v>
      </c>
      <c r="C125" s="8" t="s">
        <v>333</v>
      </c>
      <c r="D125" s="9">
        <v>45323.0</v>
      </c>
      <c r="E125" s="10">
        <v>12195.8</v>
      </c>
      <c r="F125" s="11" t="s">
        <v>13</v>
      </c>
    </row>
    <row r="126">
      <c r="A126" s="6" t="s">
        <v>335</v>
      </c>
      <c r="B126" s="7">
        <v>1.250004611E9</v>
      </c>
      <c r="C126" s="8" t="s">
        <v>336</v>
      </c>
      <c r="D126" s="9">
        <v>45323.0</v>
      </c>
      <c r="E126" s="10">
        <v>45360.0</v>
      </c>
      <c r="F126" s="11" t="s">
        <v>9</v>
      </c>
    </row>
    <row r="127">
      <c r="A127" s="6" t="s">
        <v>337</v>
      </c>
      <c r="B127" s="7">
        <v>1.250000094E9</v>
      </c>
      <c r="C127" s="8" t="s">
        <v>338</v>
      </c>
      <c r="D127" s="9">
        <v>45324.0</v>
      </c>
      <c r="E127" s="10">
        <v>1080.0</v>
      </c>
      <c r="F127" s="11" t="s">
        <v>9</v>
      </c>
    </row>
    <row r="128">
      <c r="A128" s="6" t="s">
        <v>340</v>
      </c>
      <c r="B128" s="7">
        <v>1.250001764E9</v>
      </c>
      <c r="C128" s="8" t="s">
        <v>15</v>
      </c>
      <c r="D128" s="9">
        <v>45324.0</v>
      </c>
      <c r="E128" s="10">
        <v>12300.0</v>
      </c>
      <c r="F128" s="11" t="s">
        <v>13</v>
      </c>
    </row>
    <row r="129">
      <c r="A129" s="6" t="s">
        <v>341</v>
      </c>
      <c r="B129" s="7">
        <v>1.25000326E9</v>
      </c>
      <c r="C129" s="8" t="s">
        <v>342</v>
      </c>
      <c r="D129" s="9">
        <v>45324.0</v>
      </c>
      <c r="E129" s="10">
        <v>20494.75</v>
      </c>
      <c r="F129" s="11" t="s">
        <v>13</v>
      </c>
    </row>
    <row r="130">
      <c r="A130" s="6" t="s">
        <v>344</v>
      </c>
      <c r="B130" s="7">
        <v>1.250004201E9</v>
      </c>
      <c r="C130" s="8" t="s">
        <v>345</v>
      </c>
      <c r="D130" s="9">
        <v>45324.0</v>
      </c>
      <c r="E130" s="10">
        <v>50228.0</v>
      </c>
      <c r="F130" s="11" t="s">
        <v>9</v>
      </c>
    </row>
    <row r="131">
      <c r="A131" s="6" t="s">
        <v>347</v>
      </c>
      <c r="B131" s="7">
        <v>1.250000174E9</v>
      </c>
      <c r="C131" s="8" t="s">
        <v>348</v>
      </c>
      <c r="D131" s="9">
        <v>45325.0</v>
      </c>
      <c r="E131" s="10">
        <v>1292.3</v>
      </c>
      <c r="F131" s="11" t="s">
        <v>13</v>
      </c>
    </row>
    <row r="132">
      <c r="A132" s="6" t="s">
        <v>350</v>
      </c>
      <c r="B132" s="7">
        <v>1.250001764E9</v>
      </c>
      <c r="C132" s="8" t="s">
        <v>15</v>
      </c>
      <c r="D132" s="9">
        <v>45325.0</v>
      </c>
      <c r="E132" s="10">
        <v>1305.0</v>
      </c>
      <c r="F132" s="11" t="s">
        <v>13</v>
      </c>
    </row>
    <row r="133">
      <c r="A133" s="6" t="s">
        <v>352</v>
      </c>
      <c r="B133" s="7">
        <v>1.200007752E9</v>
      </c>
      <c r="C133" s="8" t="s">
        <v>181</v>
      </c>
      <c r="D133" s="9">
        <v>45325.0</v>
      </c>
      <c r="E133" s="10">
        <v>14750.0</v>
      </c>
      <c r="F133" s="11" t="s">
        <v>13</v>
      </c>
    </row>
    <row r="134">
      <c r="A134" s="6" t="s">
        <v>354</v>
      </c>
      <c r="B134" s="7">
        <v>1.250001741E9</v>
      </c>
      <c r="C134" s="8" t="s">
        <v>52</v>
      </c>
      <c r="D134" s="9">
        <v>45327.0</v>
      </c>
      <c r="E134" s="10">
        <v>1700.0</v>
      </c>
      <c r="F134" s="11" t="s">
        <v>9</v>
      </c>
    </row>
    <row r="135">
      <c r="A135" s="6" t="s">
        <v>356</v>
      </c>
      <c r="B135" s="7">
        <v>1.250002059E9</v>
      </c>
      <c r="C135" s="8" t="s">
        <v>148</v>
      </c>
      <c r="D135" s="9">
        <v>45327.0</v>
      </c>
      <c r="E135" s="10">
        <v>2196.0</v>
      </c>
      <c r="F135" s="11" t="s">
        <v>13</v>
      </c>
    </row>
    <row r="136">
      <c r="A136" s="6" t="s">
        <v>358</v>
      </c>
      <c r="B136" s="7">
        <v>1.250002839E9</v>
      </c>
      <c r="C136" s="8" t="s">
        <v>359</v>
      </c>
      <c r="D136" s="9">
        <v>45327.0</v>
      </c>
      <c r="E136" s="10">
        <v>2404.5</v>
      </c>
      <c r="F136" s="11" t="s">
        <v>9</v>
      </c>
    </row>
    <row r="137">
      <c r="A137" s="6" t="s">
        <v>361</v>
      </c>
      <c r="B137" s="7">
        <v>1.250010137E9</v>
      </c>
      <c r="C137" s="8" t="s">
        <v>362</v>
      </c>
      <c r="D137" s="9">
        <v>45327.0</v>
      </c>
      <c r="E137" s="10">
        <v>2850.0</v>
      </c>
      <c r="F137" s="11" t="s">
        <v>13</v>
      </c>
    </row>
    <row r="138">
      <c r="A138" s="6" t="s">
        <v>364</v>
      </c>
      <c r="B138" s="7">
        <v>1.250002839E9</v>
      </c>
      <c r="C138" s="8" t="s">
        <v>359</v>
      </c>
      <c r="D138" s="9">
        <v>45327.0</v>
      </c>
      <c r="E138" s="10">
        <v>4977.0</v>
      </c>
      <c r="F138" s="11" t="s">
        <v>9</v>
      </c>
    </row>
    <row r="139">
      <c r="A139" s="6" t="s">
        <v>366</v>
      </c>
      <c r="B139" s="7">
        <v>1.200009067E9</v>
      </c>
      <c r="C139" s="8" t="s">
        <v>46</v>
      </c>
      <c r="D139" s="9">
        <v>45327.0</v>
      </c>
      <c r="E139" s="10">
        <v>5300.0</v>
      </c>
      <c r="F139" s="11" t="s">
        <v>13</v>
      </c>
    </row>
    <row r="140">
      <c r="A140" s="6" t="s">
        <v>368</v>
      </c>
      <c r="B140" s="7">
        <v>1.250002839E9</v>
      </c>
      <c r="C140" s="8" t="s">
        <v>359</v>
      </c>
      <c r="D140" s="9">
        <v>45327.0</v>
      </c>
      <c r="E140" s="10">
        <v>5969.1</v>
      </c>
      <c r="F140" s="11" t="s">
        <v>9</v>
      </c>
    </row>
    <row r="141">
      <c r="A141" s="6" t="s">
        <v>370</v>
      </c>
      <c r="B141" s="7">
        <v>1.250002839E9</v>
      </c>
      <c r="C141" s="8" t="s">
        <v>359</v>
      </c>
      <c r="D141" s="9">
        <v>45327.0</v>
      </c>
      <c r="E141" s="10">
        <v>7059.0</v>
      </c>
      <c r="F141" s="11" t="s">
        <v>9</v>
      </c>
    </row>
    <row r="142">
      <c r="A142" s="6" t="s">
        <v>372</v>
      </c>
      <c r="B142" s="7">
        <v>1.250002839E9</v>
      </c>
      <c r="C142" s="8" t="s">
        <v>359</v>
      </c>
      <c r="D142" s="9">
        <v>45327.0</v>
      </c>
      <c r="E142" s="10">
        <v>7705.0</v>
      </c>
      <c r="F142" s="11" t="s">
        <v>9</v>
      </c>
    </row>
    <row r="143">
      <c r="A143" s="6" t="s">
        <v>374</v>
      </c>
      <c r="B143" s="7">
        <v>1.250002839E9</v>
      </c>
      <c r="C143" s="8" t="s">
        <v>359</v>
      </c>
      <c r="D143" s="9">
        <v>45327.0</v>
      </c>
      <c r="E143" s="10">
        <v>8646.0</v>
      </c>
      <c r="F143" s="11" t="s">
        <v>9</v>
      </c>
    </row>
    <row r="144">
      <c r="A144" s="6" t="s">
        <v>376</v>
      </c>
      <c r="B144" s="7">
        <v>1.250009305E9</v>
      </c>
      <c r="C144" s="8" t="s">
        <v>377</v>
      </c>
      <c r="D144" s="9">
        <v>45327.0</v>
      </c>
      <c r="E144" s="10">
        <v>10050.0</v>
      </c>
      <c r="F144" s="11" t="s">
        <v>13</v>
      </c>
    </row>
    <row r="145">
      <c r="A145" s="6" t="s">
        <v>379</v>
      </c>
      <c r="B145" s="7">
        <v>1.250002839E9</v>
      </c>
      <c r="C145" s="8" t="s">
        <v>359</v>
      </c>
      <c r="D145" s="9">
        <v>45327.0</v>
      </c>
      <c r="E145" s="10">
        <v>14655.1</v>
      </c>
      <c r="F145" s="11" t="s">
        <v>9</v>
      </c>
    </row>
    <row r="146">
      <c r="A146" s="6" t="s">
        <v>381</v>
      </c>
      <c r="B146" s="7">
        <v>1.250002839E9</v>
      </c>
      <c r="C146" s="8" t="s">
        <v>359</v>
      </c>
      <c r="D146" s="9">
        <v>45327.0</v>
      </c>
      <c r="E146" s="10">
        <v>14702.8</v>
      </c>
      <c r="F146" s="11" t="s">
        <v>9</v>
      </c>
    </row>
    <row r="147">
      <c r="A147" s="6" t="s">
        <v>383</v>
      </c>
      <c r="B147" s="7">
        <v>1.250002839E9</v>
      </c>
      <c r="C147" s="8" t="s">
        <v>359</v>
      </c>
      <c r="D147" s="9">
        <v>45327.0</v>
      </c>
      <c r="E147" s="10">
        <v>14995.5</v>
      </c>
      <c r="F147" s="11" t="s">
        <v>9</v>
      </c>
    </row>
    <row r="148">
      <c r="A148" s="6" t="s">
        <v>385</v>
      </c>
      <c r="B148" s="7">
        <v>1.250002839E9</v>
      </c>
      <c r="C148" s="8" t="s">
        <v>359</v>
      </c>
      <c r="D148" s="9">
        <v>45327.0</v>
      </c>
      <c r="E148" s="10">
        <v>15202.0</v>
      </c>
      <c r="F148" s="11" t="s">
        <v>9</v>
      </c>
    </row>
    <row r="149">
      <c r="A149" s="6" t="s">
        <v>387</v>
      </c>
      <c r="B149" s="7">
        <v>1.250002839E9</v>
      </c>
      <c r="C149" s="8" t="s">
        <v>359</v>
      </c>
      <c r="D149" s="9">
        <v>45327.0</v>
      </c>
      <c r="E149" s="10">
        <v>23146.0</v>
      </c>
      <c r="F149" s="11" t="s">
        <v>9</v>
      </c>
    </row>
    <row r="150">
      <c r="A150" s="6" t="s">
        <v>389</v>
      </c>
      <c r="B150" s="7">
        <v>1.250002839E9</v>
      </c>
      <c r="C150" s="8" t="s">
        <v>359</v>
      </c>
      <c r="D150" s="9">
        <v>45327.0</v>
      </c>
      <c r="E150" s="10">
        <v>31373.2</v>
      </c>
      <c r="F150" s="11" t="s">
        <v>9</v>
      </c>
    </row>
    <row r="151">
      <c r="A151" s="6" t="s">
        <v>391</v>
      </c>
      <c r="B151" s="7">
        <v>1.250002839E9</v>
      </c>
      <c r="C151" s="8" t="s">
        <v>359</v>
      </c>
      <c r="D151" s="9">
        <v>45327.0</v>
      </c>
      <c r="E151" s="10">
        <v>39347.3</v>
      </c>
      <c r="F151" s="11" t="s">
        <v>9</v>
      </c>
    </row>
    <row r="152">
      <c r="A152" s="6" t="s">
        <v>393</v>
      </c>
      <c r="B152" s="7">
        <v>1.250002839E9</v>
      </c>
      <c r="C152" s="8" t="s">
        <v>359</v>
      </c>
      <c r="D152" s="9">
        <v>45327.0</v>
      </c>
      <c r="E152" s="10">
        <v>40765.4</v>
      </c>
      <c r="F152" s="11" t="s">
        <v>9</v>
      </c>
    </row>
    <row r="153">
      <c r="A153" s="6" t="s">
        <v>395</v>
      </c>
      <c r="B153" s="7">
        <v>1.250001513E9</v>
      </c>
      <c r="C153" s="8" t="s">
        <v>396</v>
      </c>
      <c r="D153" s="9">
        <v>45327.0</v>
      </c>
      <c r="E153" s="10">
        <v>45642.5</v>
      </c>
      <c r="F153" s="11" t="s">
        <v>9</v>
      </c>
    </row>
    <row r="154">
      <c r="A154" s="6" t="s">
        <v>398</v>
      </c>
      <c r="B154" s="7">
        <v>1.250002839E9</v>
      </c>
      <c r="C154" s="8" t="s">
        <v>359</v>
      </c>
      <c r="D154" s="9">
        <v>45327.0</v>
      </c>
      <c r="E154" s="10">
        <v>147021.0</v>
      </c>
      <c r="F154" s="11" t="s">
        <v>9</v>
      </c>
    </row>
    <row r="155">
      <c r="A155" s="6" t="s">
        <v>400</v>
      </c>
      <c r="B155" s="7">
        <v>1.250002839E9</v>
      </c>
      <c r="C155" s="8" t="s">
        <v>359</v>
      </c>
      <c r="D155" s="9">
        <v>45328.0</v>
      </c>
      <c r="E155" s="10">
        <v>2915.5</v>
      </c>
      <c r="F155" s="11" t="s">
        <v>9</v>
      </c>
    </row>
    <row r="156">
      <c r="A156" s="6" t="s">
        <v>402</v>
      </c>
      <c r="B156" s="7">
        <v>1.250009984E9</v>
      </c>
      <c r="C156" s="8" t="s">
        <v>403</v>
      </c>
      <c r="D156" s="9">
        <v>45328.0</v>
      </c>
      <c r="E156" s="10">
        <v>5250.0</v>
      </c>
      <c r="F156" s="11" t="s">
        <v>13</v>
      </c>
    </row>
    <row r="157">
      <c r="A157" s="6" t="s">
        <v>405</v>
      </c>
      <c r="B157" s="7">
        <v>1.25001033E9</v>
      </c>
      <c r="C157" s="8" t="s">
        <v>406</v>
      </c>
      <c r="D157" s="9">
        <v>45328.0</v>
      </c>
      <c r="E157" s="10">
        <v>6552.0</v>
      </c>
      <c r="F157" s="11" t="s">
        <v>13</v>
      </c>
    </row>
    <row r="158">
      <c r="A158" s="6" t="s">
        <v>408</v>
      </c>
      <c r="B158" s="7">
        <v>1.250002839E9</v>
      </c>
      <c r="C158" s="8" t="s">
        <v>359</v>
      </c>
      <c r="D158" s="9">
        <v>45328.0</v>
      </c>
      <c r="E158" s="10">
        <v>16238.7</v>
      </c>
      <c r="F158" s="11" t="s">
        <v>9</v>
      </c>
    </row>
    <row r="159">
      <c r="A159" s="6" t="s">
        <v>410</v>
      </c>
      <c r="B159" s="7">
        <v>1.250000191E9</v>
      </c>
      <c r="C159" s="8" t="s">
        <v>411</v>
      </c>
      <c r="D159" s="9">
        <v>45328.0</v>
      </c>
      <c r="E159" s="10">
        <v>16789.55</v>
      </c>
      <c r="F159" s="11" t="s">
        <v>9</v>
      </c>
    </row>
    <row r="160">
      <c r="A160" s="6" t="s">
        <v>413</v>
      </c>
      <c r="B160" s="7">
        <v>1.250002839E9</v>
      </c>
      <c r="C160" s="8" t="s">
        <v>359</v>
      </c>
      <c r="D160" s="9">
        <v>45328.0</v>
      </c>
      <c r="E160" s="10">
        <v>17687.6</v>
      </c>
      <c r="F160" s="11" t="s">
        <v>9</v>
      </c>
    </row>
    <row r="161">
      <c r="A161" s="6" t="s">
        <v>415</v>
      </c>
      <c r="B161" s="7">
        <v>1.250002839E9</v>
      </c>
      <c r="C161" s="8" t="s">
        <v>359</v>
      </c>
      <c r="D161" s="9">
        <v>45328.0</v>
      </c>
      <c r="E161" s="10">
        <v>98228.4</v>
      </c>
      <c r="F161" s="11" t="s">
        <v>9</v>
      </c>
    </row>
    <row r="162">
      <c r="A162" s="6" t="s">
        <v>417</v>
      </c>
      <c r="B162" s="7">
        <v>1.250000505E9</v>
      </c>
      <c r="C162" s="8" t="s">
        <v>11</v>
      </c>
      <c r="D162" s="9">
        <v>45329.0</v>
      </c>
      <c r="E162" s="10">
        <v>3130.45</v>
      </c>
      <c r="F162" s="11" t="s">
        <v>13</v>
      </c>
    </row>
    <row r="163">
      <c r="A163" s="6" t="s">
        <v>419</v>
      </c>
      <c r="B163" s="7">
        <v>1.200007409E9</v>
      </c>
      <c r="C163" s="8" t="s">
        <v>128</v>
      </c>
      <c r="D163" s="9">
        <v>45329.0</v>
      </c>
      <c r="E163" s="10">
        <v>3354.0</v>
      </c>
      <c r="F163" s="11" t="s">
        <v>13</v>
      </c>
    </row>
    <row r="164">
      <c r="A164" s="6" t="s">
        <v>421</v>
      </c>
      <c r="B164" s="7">
        <v>1.250003924E9</v>
      </c>
      <c r="C164" s="8" t="s">
        <v>422</v>
      </c>
      <c r="D164" s="9">
        <v>45329.0</v>
      </c>
      <c r="E164" s="10">
        <v>10368.8</v>
      </c>
      <c r="F164" s="11" t="s">
        <v>13</v>
      </c>
    </row>
    <row r="165">
      <c r="A165" s="6" t="s">
        <v>425</v>
      </c>
      <c r="B165" s="7">
        <v>1.250001764E9</v>
      </c>
      <c r="C165" s="8" t="s">
        <v>15</v>
      </c>
      <c r="D165" s="9">
        <v>45330.0</v>
      </c>
      <c r="E165" s="10">
        <v>1600.0</v>
      </c>
      <c r="F165" s="11" t="s">
        <v>13</v>
      </c>
    </row>
    <row r="166">
      <c r="A166" s="6" t="s">
        <v>426</v>
      </c>
      <c r="B166" s="7">
        <v>1.250001764E9</v>
      </c>
      <c r="C166" s="8" t="s">
        <v>15</v>
      </c>
      <c r="D166" s="9">
        <v>45330.0</v>
      </c>
      <c r="E166" s="10">
        <v>1800.0</v>
      </c>
      <c r="F166" s="11" t="s">
        <v>13</v>
      </c>
    </row>
    <row r="167">
      <c r="A167" s="6" t="s">
        <v>428</v>
      </c>
      <c r="B167" s="7">
        <v>1.250000438E9</v>
      </c>
      <c r="C167" s="8" t="s">
        <v>119</v>
      </c>
      <c r="D167" s="9">
        <v>45330.0</v>
      </c>
      <c r="E167" s="10">
        <v>2475.25</v>
      </c>
      <c r="F167" s="11" t="s">
        <v>9</v>
      </c>
    </row>
    <row r="168">
      <c r="A168" s="6" t="s">
        <v>430</v>
      </c>
      <c r="B168" s="7">
        <v>1.250001319E9</v>
      </c>
      <c r="C168" s="8" t="s">
        <v>145</v>
      </c>
      <c r="D168" s="9">
        <v>45330.0</v>
      </c>
      <c r="E168" s="10">
        <v>4490.2</v>
      </c>
      <c r="F168" s="11" t="s">
        <v>13</v>
      </c>
    </row>
    <row r="169">
      <c r="A169" s="6" t="s">
        <v>432</v>
      </c>
      <c r="B169" s="7">
        <v>1.250001192E9</v>
      </c>
      <c r="C169" s="8" t="s">
        <v>433</v>
      </c>
      <c r="D169" s="9">
        <v>45330.0</v>
      </c>
      <c r="E169" s="10">
        <v>7750.0</v>
      </c>
      <c r="F169" s="11" t="s">
        <v>9</v>
      </c>
    </row>
    <row r="170">
      <c r="A170" s="6" t="s">
        <v>435</v>
      </c>
      <c r="B170" s="7">
        <v>1.250001434E9</v>
      </c>
      <c r="C170" s="8" t="s">
        <v>276</v>
      </c>
      <c r="D170" s="9">
        <v>45330.0</v>
      </c>
      <c r="E170" s="10">
        <v>8686.0</v>
      </c>
      <c r="F170" s="11" t="s">
        <v>9</v>
      </c>
    </row>
    <row r="171">
      <c r="A171" s="6" t="s">
        <v>437</v>
      </c>
      <c r="B171" s="7">
        <v>1.250000103E9</v>
      </c>
      <c r="C171" s="8" t="s">
        <v>438</v>
      </c>
      <c r="D171" s="9">
        <v>45330.0</v>
      </c>
      <c r="E171" s="10">
        <v>8779.0</v>
      </c>
      <c r="F171" s="11" t="s">
        <v>9</v>
      </c>
    </row>
    <row r="172">
      <c r="A172" s="6" t="s">
        <v>440</v>
      </c>
      <c r="B172" s="7">
        <v>1.250001513E9</v>
      </c>
      <c r="C172" s="8" t="s">
        <v>396</v>
      </c>
      <c r="D172" s="9">
        <v>45331.0</v>
      </c>
      <c r="E172" s="10">
        <v>3804.0</v>
      </c>
      <c r="F172" s="11" t="s">
        <v>9</v>
      </c>
    </row>
    <row r="173">
      <c r="A173" s="6" t="s">
        <v>442</v>
      </c>
      <c r="B173" s="7">
        <v>1.25000248E9</v>
      </c>
      <c r="C173" s="8" t="s">
        <v>443</v>
      </c>
      <c r="D173" s="9">
        <v>45331.0</v>
      </c>
      <c r="E173" s="10">
        <v>4956.0</v>
      </c>
      <c r="F173" s="11" t="s">
        <v>13</v>
      </c>
    </row>
    <row r="174">
      <c r="A174" s="6" t="s">
        <v>445</v>
      </c>
      <c r="B174" s="7">
        <v>1.250002839E9</v>
      </c>
      <c r="C174" s="8" t="s">
        <v>359</v>
      </c>
      <c r="D174" s="9">
        <v>45331.0</v>
      </c>
      <c r="E174" s="10">
        <v>20035.4</v>
      </c>
      <c r="F174" s="11" t="s">
        <v>9</v>
      </c>
    </row>
    <row r="175">
      <c r="A175" s="6" t="s">
        <v>447</v>
      </c>
      <c r="B175" s="7">
        <v>1.250002839E9</v>
      </c>
      <c r="C175" s="8" t="s">
        <v>359</v>
      </c>
      <c r="D175" s="9">
        <v>45331.0</v>
      </c>
      <c r="E175" s="10">
        <v>103307.5</v>
      </c>
      <c r="F175" s="11" t="s">
        <v>9</v>
      </c>
    </row>
    <row r="176">
      <c r="A176" s="6" t="s">
        <v>449</v>
      </c>
      <c r="B176" s="7">
        <v>1.250009892E9</v>
      </c>
      <c r="C176" s="8" t="s">
        <v>93</v>
      </c>
      <c r="D176" s="9">
        <v>45334.0</v>
      </c>
      <c r="E176" s="10">
        <v>3557.0</v>
      </c>
      <c r="F176" s="11" t="s">
        <v>13</v>
      </c>
    </row>
    <row r="177">
      <c r="A177" s="6" t="s">
        <v>451</v>
      </c>
      <c r="B177" s="7">
        <v>1.250009745E9</v>
      </c>
      <c r="C177" s="8" t="s">
        <v>84</v>
      </c>
      <c r="D177" s="9">
        <v>45334.0</v>
      </c>
      <c r="E177" s="10">
        <v>4209.5</v>
      </c>
      <c r="F177" s="11" t="s">
        <v>13</v>
      </c>
    </row>
    <row r="178">
      <c r="A178" s="6" t="s">
        <v>453</v>
      </c>
      <c r="B178" s="7">
        <v>1.200008893E9</v>
      </c>
      <c r="C178" s="8" t="s">
        <v>454</v>
      </c>
      <c r="D178" s="9">
        <v>45334.0</v>
      </c>
      <c r="E178" s="10">
        <v>5826.66</v>
      </c>
      <c r="F178" s="11" t="s">
        <v>13</v>
      </c>
    </row>
    <row r="179">
      <c r="A179" s="6" t="s">
        <v>456</v>
      </c>
      <c r="B179" s="7">
        <v>1.250009892E9</v>
      </c>
      <c r="C179" s="8" t="s">
        <v>93</v>
      </c>
      <c r="D179" s="9">
        <v>45334.0</v>
      </c>
      <c r="E179" s="10">
        <v>10488.7</v>
      </c>
      <c r="F179" s="11" t="s">
        <v>13</v>
      </c>
    </row>
    <row r="180">
      <c r="A180" s="6" t="s">
        <v>458</v>
      </c>
      <c r="B180" s="7">
        <v>1.250009892E9</v>
      </c>
      <c r="C180" s="8" t="s">
        <v>93</v>
      </c>
      <c r="D180" s="9">
        <v>45334.0</v>
      </c>
      <c r="E180" s="10">
        <v>11124.5</v>
      </c>
      <c r="F180" s="11" t="s">
        <v>13</v>
      </c>
    </row>
    <row r="181">
      <c r="A181" s="6" t="s">
        <v>460</v>
      </c>
      <c r="B181" s="7">
        <v>1.200008893E9</v>
      </c>
      <c r="C181" s="8" t="s">
        <v>454</v>
      </c>
      <c r="D181" s="9">
        <v>45334.0</v>
      </c>
      <c r="E181" s="10">
        <v>15375.2</v>
      </c>
      <c r="F181" s="11" t="s">
        <v>13</v>
      </c>
    </row>
    <row r="182">
      <c r="A182" s="6" t="s">
        <v>462</v>
      </c>
      <c r="B182" s="7">
        <v>1.200007456E9</v>
      </c>
      <c r="C182" s="8" t="s">
        <v>463</v>
      </c>
      <c r="D182" s="9">
        <v>45334.0</v>
      </c>
      <c r="E182" s="10">
        <v>25268.0</v>
      </c>
      <c r="F182" s="11" t="s">
        <v>9</v>
      </c>
    </row>
    <row r="183">
      <c r="A183" s="6" t="s">
        <v>465</v>
      </c>
      <c r="B183" s="7">
        <v>1.2000083E9</v>
      </c>
      <c r="C183" s="8" t="s">
        <v>466</v>
      </c>
      <c r="D183" s="9">
        <v>45335.0</v>
      </c>
      <c r="E183" s="10">
        <v>432.5</v>
      </c>
      <c r="F183" s="11" t="s">
        <v>13</v>
      </c>
    </row>
    <row r="184">
      <c r="A184" s="6" t="s">
        <v>468</v>
      </c>
      <c r="B184" s="7">
        <v>1.2000083E9</v>
      </c>
      <c r="C184" s="8" t="s">
        <v>466</v>
      </c>
      <c r="D184" s="9">
        <v>45335.0</v>
      </c>
      <c r="E184" s="10">
        <v>543.9</v>
      </c>
      <c r="F184" s="11" t="s">
        <v>13</v>
      </c>
    </row>
    <row r="185">
      <c r="A185" s="6" t="s">
        <v>470</v>
      </c>
      <c r="B185" s="7">
        <v>1.250000077E9</v>
      </c>
      <c r="C185" s="8" t="s">
        <v>471</v>
      </c>
      <c r="D185" s="9">
        <v>45335.0</v>
      </c>
      <c r="E185" s="10">
        <v>2485.0</v>
      </c>
      <c r="F185" s="11" t="s">
        <v>9</v>
      </c>
    </row>
    <row r="186">
      <c r="A186" s="6" t="s">
        <v>473</v>
      </c>
      <c r="B186" s="7">
        <v>1.250000288E9</v>
      </c>
      <c r="C186" s="8" t="s">
        <v>474</v>
      </c>
      <c r="D186" s="9">
        <v>45335.0</v>
      </c>
      <c r="E186" s="10">
        <v>2950.0</v>
      </c>
      <c r="F186" s="11" t="s">
        <v>13</v>
      </c>
    </row>
    <row r="187">
      <c r="A187" s="6" t="s">
        <v>476</v>
      </c>
      <c r="B187" s="7">
        <v>1.250000288E9</v>
      </c>
      <c r="C187" s="8" t="s">
        <v>474</v>
      </c>
      <c r="D187" s="9">
        <v>45335.0</v>
      </c>
      <c r="E187" s="10">
        <v>3000.0</v>
      </c>
      <c r="F187" s="11" t="s">
        <v>13</v>
      </c>
    </row>
    <row r="188">
      <c r="A188" s="6" t="s">
        <v>478</v>
      </c>
      <c r="B188" s="7">
        <v>1.250001499E9</v>
      </c>
      <c r="C188" s="8" t="s">
        <v>479</v>
      </c>
      <c r="D188" s="9">
        <v>45335.0</v>
      </c>
      <c r="E188" s="10">
        <v>4522.0</v>
      </c>
      <c r="F188" s="11" t="s">
        <v>13</v>
      </c>
    </row>
    <row r="189">
      <c r="A189" s="6" t="s">
        <v>481</v>
      </c>
      <c r="B189" s="7">
        <v>1.250010373E9</v>
      </c>
      <c r="C189" s="8" t="s">
        <v>482</v>
      </c>
      <c r="D189" s="9">
        <v>45335.0</v>
      </c>
      <c r="E189" s="10">
        <v>10140.0</v>
      </c>
      <c r="F189" s="11" t="s">
        <v>9</v>
      </c>
    </row>
    <row r="190">
      <c r="A190" s="6" t="s">
        <v>484</v>
      </c>
      <c r="B190" s="7">
        <v>1.250000742E9</v>
      </c>
      <c r="C190" s="8" t="s">
        <v>485</v>
      </c>
      <c r="D190" s="9">
        <v>45335.0</v>
      </c>
      <c r="E190" s="10">
        <v>10450.0</v>
      </c>
      <c r="F190" s="11" t="s">
        <v>13</v>
      </c>
    </row>
    <row r="191">
      <c r="A191" s="6" t="s">
        <v>487</v>
      </c>
      <c r="B191" s="7">
        <v>1.25000167E9</v>
      </c>
      <c r="C191" s="8" t="s">
        <v>488</v>
      </c>
      <c r="D191" s="9">
        <v>45335.0</v>
      </c>
      <c r="E191" s="10">
        <v>34720.0</v>
      </c>
      <c r="F191" s="11" t="s">
        <v>13</v>
      </c>
    </row>
    <row r="192">
      <c r="A192" s="6" t="s">
        <v>490</v>
      </c>
      <c r="B192" s="7">
        <v>1.2000083E9</v>
      </c>
      <c r="C192" s="8" t="s">
        <v>466</v>
      </c>
      <c r="D192" s="9">
        <v>45336.0</v>
      </c>
      <c r="E192" s="10">
        <v>640.5</v>
      </c>
      <c r="F192" s="11" t="s">
        <v>13</v>
      </c>
    </row>
    <row r="193">
      <c r="A193" s="6" t="s">
        <v>492</v>
      </c>
      <c r="B193" s="7">
        <v>1.250001764E9</v>
      </c>
      <c r="C193" s="8" t="s">
        <v>15</v>
      </c>
      <c r="D193" s="9">
        <v>45336.0</v>
      </c>
      <c r="E193" s="10">
        <v>900.0</v>
      </c>
      <c r="F193" s="11" t="s">
        <v>13</v>
      </c>
    </row>
    <row r="194">
      <c r="A194" s="6" t="s">
        <v>494</v>
      </c>
      <c r="B194" s="7">
        <v>1.250004426E9</v>
      </c>
      <c r="C194" s="8" t="s">
        <v>495</v>
      </c>
      <c r="D194" s="9">
        <v>45336.0</v>
      </c>
      <c r="E194" s="10">
        <v>8040.0</v>
      </c>
      <c r="F194" s="11" t="s">
        <v>13</v>
      </c>
    </row>
    <row r="195">
      <c r="A195" s="6" t="s">
        <v>497</v>
      </c>
      <c r="B195" s="7">
        <v>1.250000452E9</v>
      </c>
      <c r="C195" s="8" t="s">
        <v>498</v>
      </c>
      <c r="D195" s="9">
        <v>45336.0</v>
      </c>
      <c r="E195" s="10">
        <v>10629.75</v>
      </c>
      <c r="F195" s="11" t="s">
        <v>9</v>
      </c>
    </row>
    <row r="196">
      <c r="A196" s="6" t="s">
        <v>500</v>
      </c>
      <c r="B196" s="7">
        <v>1.250002755E9</v>
      </c>
      <c r="C196" s="8" t="s">
        <v>501</v>
      </c>
      <c r="D196" s="9">
        <v>45336.0</v>
      </c>
      <c r="E196" s="10">
        <v>11281.0</v>
      </c>
      <c r="F196" s="11" t="s">
        <v>9</v>
      </c>
    </row>
    <row r="197">
      <c r="A197" s="6" t="s">
        <v>503</v>
      </c>
      <c r="B197" s="7">
        <v>1.250004426E9</v>
      </c>
      <c r="C197" s="8" t="s">
        <v>495</v>
      </c>
      <c r="D197" s="9">
        <v>45336.0</v>
      </c>
      <c r="E197" s="10">
        <v>26720.0</v>
      </c>
      <c r="F197" s="11" t="s">
        <v>13</v>
      </c>
    </row>
    <row r="198">
      <c r="A198" s="6" t="s">
        <v>505</v>
      </c>
      <c r="B198" s="7">
        <v>1.250009928E9</v>
      </c>
      <c r="C198" s="8" t="s">
        <v>506</v>
      </c>
      <c r="D198" s="9">
        <v>45336.0</v>
      </c>
      <c r="E198" s="10">
        <v>29710.0</v>
      </c>
      <c r="F198" s="11" t="s">
        <v>13</v>
      </c>
    </row>
    <row r="199">
      <c r="A199" s="6" t="s">
        <v>508</v>
      </c>
      <c r="B199" s="7">
        <v>1.250000913E9</v>
      </c>
      <c r="C199" s="8" t="s">
        <v>60</v>
      </c>
      <c r="D199" s="9">
        <v>45337.0</v>
      </c>
      <c r="E199" s="10">
        <v>440.0</v>
      </c>
      <c r="F199" s="11" t="s">
        <v>13</v>
      </c>
    </row>
    <row r="200">
      <c r="A200" s="6" t="s">
        <v>510</v>
      </c>
      <c r="B200" s="7">
        <v>1.250009745E9</v>
      </c>
      <c r="C200" s="8" t="s">
        <v>84</v>
      </c>
      <c r="D200" s="9">
        <v>45337.0</v>
      </c>
      <c r="E200" s="10">
        <v>900.0</v>
      </c>
      <c r="F200" s="11" t="s">
        <v>13</v>
      </c>
    </row>
    <row r="201">
      <c r="A201" s="6" t="s">
        <v>511</v>
      </c>
      <c r="B201" s="7">
        <v>1.250001273E9</v>
      </c>
      <c r="C201" s="8" t="s">
        <v>512</v>
      </c>
      <c r="D201" s="9">
        <v>45337.0</v>
      </c>
      <c r="E201" s="10">
        <v>1200.0</v>
      </c>
      <c r="F201" s="11" t="s">
        <v>13</v>
      </c>
    </row>
    <row r="202">
      <c r="A202" s="24"/>
      <c r="B202" s="7"/>
      <c r="C202" s="24"/>
      <c r="D202" s="24"/>
      <c r="E202" s="25"/>
      <c r="F202" s="24"/>
    </row>
    <row r="203">
      <c r="A203" s="24"/>
      <c r="B203" s="7"/>
      <c r="C203" s="24"/>
      <c r="D203" s="24"/>
      <c r="E203" s="25"/>
      <c r="F203" s="24"/>
    </row>
    <row r="204">
      <c r="A204" s="24"/>
      <c r="B204" s="7"/>
      <c r="C204" s="24"/>
      <c r="D204" s="24"/>
      <c r="E204" s="25"/>
      <c r="F204" s="24"/>
    </row>
    <row r="205">
      <c r="A205" s="24"/>
      <c r="B205" s="7"/>
      <c r="C205" s="24"/>
      <c r="D205" s="24"/>
      <c r="E205" s="25"/>
      <c r="F205" s="24"/>
    </row>
    <row r="206">
      <c r="A206" s="24"/>
      <c r="B206" s="7"/>
      <c r="C206" s="24"/>
      <c r="D206" s="24"/>
      <c r="E206" s="25"/>
      <c r="F206" s="24"/>
    </row>
    <row r="207">
      <c r="A207" s="24"/>
      <c r="B207" s="7"/>
      <c r="C207" s="24"/>
      <c r="D207" s="24"/>
      <c r="E207" s="25"/>
      <c r="F207" s="24"/>
    </row>
    <row r="208">
      <c r="A208" s="24"/>
      <c r="B208" s="7"/>
      <c r="C208" s="24"/>
      <c r="D208" s="24"/>
      <c r="E208" s="25"/>
      <c r="F208" s="24"/>
    </row>
    <row r="209">
      <c r="A209" s="24"/>
      <c r="B209" s="7"/>
      <c r="C209" s="24"/>
      <c r="D209" s="24"/>
      <c r="E209" s="25"/>
      <c r="F209" s="24"/>
    </row>
    <row r="210">
      <c r="A210" s="24"/>
      <c r="B210" s="7"/>
      <c r="C210" s="24"/>
      <c r="D210" s="24"/>
      <c r="E210" s="25"/>
      <c r="F210" s="24"/>
    </row>
    <row r="211">
      <c r="A211" s="24"/>
      <c r="B211" s="7"/>
      <c r="C211" s="24"/>
      <c r="D211" s="24"/>
      <c r="E211" s="25"/>
      <c r="F211" s="24"/>
    </row>
    <row r="212">
      <c r="A212" s="24"/>
      <c r="B212" s="7"/>
      <c r="C212" s="24"/>
      <c r="D212" s="24"/>
      <c r="E212" s="25"/>
      <c r="F212" s="24"/>
    </row>
    <row r="213">
      <c r="A213" s="24"/>
      <c r="B213" s="7"/>
      <c r="C213" s="24"/>
      <c r="D213" s="24"/>
      <c r="E213" s="25"/>
      <c r="F213" s="24"/>
    </row>
    <row r="214">
      <c r="A214" s="24"/>
      <c r="B214" s="7"/>
      <c r="C214" s="24"/>
      <c r="D214" s="24"/>
      <c r="E214" s="25"/>
      <c r="F214" s="24"/>
    </row>
    <row r="215">
      <c r="A215" s="24"/>
      <c r="B215" s="7"/>
      <c r="C215" s="24"/>
      <c r="D215" s="24"/>
      <c r="E215" s="25"/>
      <c r="F215" s="24"/>
    </row>
    <row r="216">
      <c r="A216" s="24"/>
      <c r="B216" s="7"/>
      <c r="C216" s="24"/>
      <c r="D216" s="24"/>
      <c r="E216" s="25"/>
      <c r="F216" s="24"/>
    </row>
    <row r="217">
      <c r="A217" s="24"/>
      <c r="B217" s="7"/>
      <c r="C217" s="24"/>
      <c r="D217" s="24"/>
      <c r="E217" s="25"/>
      <c r="F217" s="24"/>
    </row>
    <row r="218">
      <c r="A218" s="24"/>
      <c r="B218" s="7"/>
      <c r="C218" s="24"/>
      <c r="D218" s="24"/>
      <c r="E218" s="25"/>
      <c r="F218" s="24"/>
    </row>
    <row r="219">
      <c r="A219" s="24"/>
      <c r="B219" s="7"/>
      <c r="C219" s="24"/>
      <c r="D219" s="24"/>
      <c r="E219" s="25"/>
      <c r="F219" s="24"/>
    </row>
    <row r="220">
      <c r="A220" s="24"/>
      <c r="B220" s="7"/>
      <c r="C220" s="24"/>
      <c r="D220" s="24"/>
      <c r="E220" s="25"/>
      <c r="F220" s="24"/>
    </row>
    <row r="221">
      <c r="A221" s="24"/>
      <c r="B221" s="7"/>
      <c r="C221" s="24"/>
      <c r="D221" s="24"/>
      <c r="E221" s="25"/>
      <c r="F221" s="24"/>
    </row>
    <row r="222">
      <c r="A222" s="24"/>
      <c r="B222" s="7"/>
      <c r="C222" s="24"/>
      <c r="D222" s="24"/>
      <c r="E222" s="25"/>
      <c r="F222" s="24"/>
    </row>
    <row r="223">
      <c r="A223" s="24"/>
      <c r="B223" s="7"/>
      <c r="C223" s="24"/>
      <c r="D223" s="24"/>
      <c r="E223" s="25"/>
      <c r="F223" s="24"/>
    </row>
    <row r="224">
      <c r="A224" s="24"/>
      <c r="B224" s="7"/>
      <c r="C224" s="24"/>
      <c r="D224" s="24"/>
      <c r="E224" s="25"/>
      <c r="F224" s="24"/>
    </row>
    <row r="225">
      <c r="A225" s="24"/>
      <c r="B225" s="7"/>
      <c r="C225" s="24"/>
      <c r="D225" s="24"/>
      <c r="E225" s="25"/>
      <c r="F225" s="24"/>
    </row>
    <row r="226">
      <c r="A226" s="24"/>
      <c r="B226" s="7"/>
      <c r="C226" s="24"/>
      <c r="D226" s="24"/>
      <c r="E226" s="25"/>
      <c r="F226" s="24"/>
    </row>
    <row r="227">
      <c r="A227" s="24"/>
      <c r="B227" s="7"/>
      <c r="C227" s="24"/>
      <c r="D227" s="24"/>
      <c r="E227" s="25"/>
      <c r="F227" s="24"/>
    </row>
    <row r="228">
      <c r="A228" s="24"/>
      <c r="B228" s="7"/>
      <c r="C228" s="24"/>
      <c r="D228" s="24"/>
      <c r="E228" s="25"/>
      <c r="F228" s="24"/>
    </row>
    <row r="229">
      <c r="A229" s="24"/>
      <c r="B229" s="7"/>
      <c r="C229" s="24"/>
      <c r="D229" s="24"/>
      <c r="E229" s="25"/>
      <c r="F229" s="24"/>
    </row>
    <row r="230">
      <c r="A230" s="24"/>
      <c r="B230" s="7"/>
      <c r="C230" s="24"/>
      <c r="D230" s="24"/>
      <c r="E230" s="25"/>
      <c r="F230" s="24"/>
    </row>
    <row r="231">
      <c r="A231" s="24"/>
      <c r="B231" s="7"/>
      <c r="C231" s="24"/>
      <c r="D231" s="24"/>
      <c r="E231" s="25"/>
      <c r="F231" s="24"/>
    </row>
    <row r="232">
      <c r="A232" s="24"/>
      <c r="B232" s="7"/>
      <c r="C232" s="24"/>
      <c r="D232" s="24"/>
      <c r="E232" s="25"/>
      <c r="F232" s="24"/>
    </row>
    <row r="233">
      <c r="A233" s="24"/>
      <c r="B233" s="7"/>
      <c r="C233" s="24"/>
      <c r="D233" s="24"/>
      <c r="E233" s="25"/>
      <c r="F233" s="24"/>
    </row>
    <row r="234">
      <c r="A234" s="24"/>
      <c r="B234" s="7"/>
      <c r="C234" s="24"/>
      <c r="D234" s="24"/>
      <c r="E234" s="25"/>
      <c r="F234" s="24"/>
    </row>
    <row r="235">
      <c r="A235" s="24"/>
      <c r="B235" s="7"/>
      <c r="C235" s="24"/>
      <c r="D235" s="24"/>
      <c r="E235" s="25"/>
      <c r="F235" s="24"/>
    </row>
    <row r="236">
      <c r="A236" s="24"/>
      <c r="B236" s="7"/>
      <c r="C236" s="24"/>
      <c r="D236" s="24"/>
      <c r="E236" s="25"/>
      <c r="F236" s="24"/>
    </row>
    <row r="237">
      <c r="A237" s="24"/>
      <c r="B237" s="7"/>
      <c r="C237" s="24"/>
      <c r="D237" s="24"/>
      <c r="E237" s="25"/>
      <c r="F237" s="24"/>
    </row>
    <row r="238">
      <c r="A238" s="24"/>
      <c r="B238" s="7"/>
      <c r="C238" s="24"/>
      <c r="D238" s="24"/>
      <c r="E238" s="25"/>
      <c r="F238" s="24"/>
    </row>
    <row r="239">
      <c r="A239" s="24"/>
      <c r="B239" s="7"/>
      <c r="C239" s="24"/>
      <c r="D239" s="24"/>
      <c r="E239" s="25"/>
      <c r="F239" s="24"/>
    </row>
    <row r="240">
      <c r="A240" s="24"/>
      <c r="B240" s="7"/>
      <c r="C240" s="24"/>
      <c r="D240" s="24"/>
      <c r="E240" s="25"/>
      <c r="F240" s="24"/>
    </row>
    <row r="241">
      <c r="A241" s="24"/>
      <c r="B241" s="7"/>
      <c r="C241" s="24"/>
      <c r="D241" s="24"/>
      <c r="E241" s="25"/>
      <c r="F241" s="24"/>
    </row>
    <row r="242">
      <c r="A242" s="24"/>
      <c r="B242" s="7"/>
      <c r="C242" s="24"/>
      <c r="D242" s="24"/>
      <c r="E242" s="25"/>
      <c r="F242" s="24"/>
    </row>
    <row r="243">
      <c r="A243" s="24"/>
      <c r="B243" s="7"/>
      <c r="C243" s="24"/>
      <c r="D243" s="24"/>
      <c r="E243" s="25"/>
      <c r="F243" s="24"/>
    </row>
    <row r="244">
      <c r="A244" s="24"/>
      <c r="B244" s="7"/>
      <c r="C244" s="24"/>
      <c r="D244" s="24"/>
      <c r="E244" s="25"/>
      <c r="F244" s="24"/>
    </row>
    <row r="245">
      <c r="A245" s="24"/>
      <c r="B245" s="7"/>
      <c r="C245" s="24"/>
      <c r="D245" s="24"/>
      <c r="E245" s="25"/>
      <c r="F245" s="24"/>
    </row>
    <row r="246">
      <c r="A246" s="24"/>
      <c r="B246" s="7"/>
      <c r="C246" s="24"/>
      <c r="D246" s="24"/>
      <c r="E246" s="25"/>
      <c r="F246" s="24"/>
    </row>
    <row r="247">
      <c r="A247" s="24"/>
      <c r="B247" s="7"/>
      <c r="C247" s="24"/>
      <c r="D247" s="24"/>
      <c r="E247" s="25"/>
      <c r="F247" s="24"/>
    </row>
    <row r="248">
      <c r="A248" s="24"/>
      <c r="B248" s="7"/>
      <c r="C248" s="24"/>
      <c r="D248" s="24"/>
      <c r="E248" s="25"/>
      <c r="F248" s="24"/>
    </row>
    <row r="249">
      <c r="A249" s="24"/>
      <c r="B249" s="7"/>
      <c r="C249" s="24"/>
      <c r="D249" s="24"/>
      <c r="E249" s="25"/>
      <c r="F249" s="24"/>
    </row>
    <row r="250">
      <c r="A250" s="24"/>
      <c r="B250" s="7"/>
      <c r="C250" s="24"/>
      <c r="D250" s="24"/>
      <c r="E250" s="25"/>
      <c r="F250" s="24"/>
    </row>
    <row r="251">
      <c r="A251" s="24"/>
      <c r="B251" s="7"/>
      <c r="C251" s="24"/>
      <c r="D251" s="24"/>
      <c r="E251" s="25"/>
      <c r="F251" s="24"/>
    </row>
    <row r="252">
      <c r="A252" s="24"/>
      <c r="B252" s="7"/>
      <c r="C252" s="24"/>
      <c r="D252" s="24"/>
      <c r="E252" s="25"/>
      <c r="F252" s="24"/>
    </row>
    <row r="253">
      <c r="A253" s="24"/>
      <c r="B253" s="7"/>
      <c r="C253" s="24"/>
      <c r="D253" s="24"/>
      <c r="E253" s="25"/>
      <c r="F253" s="24"/>
    </row>
    <row r="254">
      <c r="A254" s="24"/>
      <c r="B254" s="7"/>
      <c r="C254" s="24"/>
      <c r="D254" s="24"/>
      <c r="E254" s="25"/>
      <c r="F254" s="24"/>
    </row>
    <row r="255">
      <c r="A255" s="24"/>
      <c r="B255" s="7"/>
      <c r="C255" s="24"/>
      <c r="D255" s="24"/>
      <c r="E255" s="25"/>
      <c r="F255" s="24"/>
    </row>
    <row r="256">
      <c r="A256" s="24"/>
      <c r="B256" s="7"/>
      <c r="C256" s="24"/>
      <c r="D256" s="24"/>
      <c r="E256" s="25"/>
      <c r="F256" s="24"/>
    </row>
    <row r="257">
      <c r="A257" s="24"/>
      <c r="B257" s="7"/>
      <c r="C257" s="24"/>
      <c r="D257" s="24"/>
      <c r="E257" s="25"/>
      <c r="F257" s="24"/>
    </row>
    <row r="258">
      <c r="A258" s="24"/>
      <c r="B258" s="7"/>
      <c r="C258" s="24"/>
      <c r="D258" s="24"/>
      <c r="E258" s="25"/>
      <c r="F258" s="24"/>
    </row>
    <row r="259">
      <c r="A259" s="24"/>
      <c r="B259" s="7"/>
      <c r="C259" s="24"/>
      <c r="D259" s="24"/>
      <c r="E259" s="25"/>
      <c r="F259" s="24"/>
    </row>
    <row r="260">
      <c r="A260" s="24"/>
      <c r="B260" s="7"/>
      <c r="C260" s="24"/>
      <c r="D260" s="24"/>
      <c r="E260" s="25"/>
      <c r="F260" s="24"/>
    </row>
    <row r="261">
      <c r="A261" s="24"/>
      <c r="B261" s="7"/>
      <c r="C261" s="24"/>
      <c r="D261" s="24"/>
      <c r="E261" s="25"/>
      <c r="F261" s="24"/>
    </row>
    <row r="262">
      <c r="A262" s="24"/>
      <c r="B262" s="7"/>
      <c r="C262" s="24"/>
      <c r="D262" s="24"/>
      <c r="E262" s="25"/>
      <c r="F262" s="24"/>
    </row>
    <row r="263">
      <c r="A263" s="24"/>
      <c r="B263" s="7"/>
      <c r="C263" s="24"/>
      <c r="D263" s="24"/>
      <c r="E263" s="25"/>
      <c r="F263" s="24"/>
    </row>
    <row r="264">
      <c r="A264" s="24"/>
      <c r="B264" s="7"/>
      <c r="C264" s="24"/>
      <c r="D264" s="24"/>
      <c r="E264" s="25"/>
      <c r="F264" s="24"/>
    </row>
    <row r="265">
      <c r="A265" s="24"/>
      <c r="B265" s="7"/>
      <c r="C265" s="24"/>
      <c r="D265" s="24"/>
      <c r="E265" s="25"/>
      <c r="F265" s="24"/>
    </row>
    <row r="266">
      <c r="A266" s="24"/>
      <c r="B266" s="7"/>
      <c r="C266" s="24"/>
      <c r="D266" s="24"/>
      <c r="E266" s="25"/>
      <c r="F266" s="24"/>
    </row>
    <row r="267">
      <c r="A267" s="24"/>
      <c r="B267" s="7"/>
      <c r="C267" s="24"/>
      <c r="D267" s="24"/>
      <c r="E267" s="25"/>
      <c r="F267" s="24"/>
    </row>
    <row r="268">
      <c r="A268" s="24"/>
      <c r="B268" s="7"/>
      <c r="C268" s="24"/>
      <c r="D268" s="24"/>
      <c r="E268" s="25"/>
      <c r="F268" s="24"/>
    </row>
    <row r="269">
      <c r="A269" s="24"/>
      <c r="B269" s="7"/>
      <c r="C269" s="24"/>
      <c r="D269" s="24"/>
      <c r="E269" s="25"/>
      <c r="F269" s="24"/>
    </row>
    <row r="270">
      <c r="A270" s="24"/>
      <c r="B270" s="7"/>
      <c r="C270" s="24"/>
      <c r="D270" s="24"/>
      <c r="E270" s="25"/>
      <c r="F270" s="24"/>
    </row>
    <row r="271">
      <c r="A271" s="24"/>
      <c r="B271" s="7"/>
      <c r="C271" s="24"/>
      <c r="D271" s="24"/>
      <c r="E271" s="25"/>
      <c r="F271" s="24"/>
    </row>
    <row r="272">
      <c r="A272" s="24"/>
      <c r="B272" s="7"/>
      <c r="C272" s="24"/>
      <c r="D272" s="24"/>
      <c r="E272" s="25"/>
      <c r="F272" s="24"/>
    </row>
    <row r="273">
      <c r="A273" s="24"/>
      <c r="B273" s="7"/>
      <c r="C273" s="24"/>
      <c r="D273" s="24"/>
      <c r="E273" s="25"/>
      <c r="F273" s="24"/>
    </row>
    <row r="274">
      <c r="A274" s="24"/>
      <c r="B274" s="7"/>
      <c r="C274" s="24"/>
      <c r="D274" s="24"/>
      <c r="E274" s="25"/>
      <c r="F274" s="24"/>
    </row>
    <row r="275">
      <c r="A275" s="24"/>
      <c r="B275" s="7"/>
      <c r="C275" s="24"/>
      <c r="D275" s="24"/>
      <c r="E275" s="25"/>
      <c r="F275" s="24"/>
    </row>
    <row r="276">
      <c r="A276" s="24"/>
      <c r="B276" s="7"/>
      <c r="C276" s="24"/>
      <c r="D276" s="24"/>
      <c r="E276" s="25"/>
      <c r="F276" s="24"/>
    </row>
    <row r="277">
      <c r="A277" s="24"/>
      <c r="B277" s="7"/>
      <c r="C277" s="24"/>
      <c r="D277" s="24"/>
      <c r="E277" s="25"/>
      <c r="F277" s="24"/>
    </row>
    <row r="278">
      <c r="A278" s="24"/>
      <c r="B278" s="7"/>
      <c r="C278" s="24"/>
      <c r="D278" s="24"/>
      <c r="E278" s="25"/>
      <c r="F278" s="24"/>
    </row>
    <row r="279">
      <c r="A279" s="24"/>
      <c r="B279" s="7"/>
      <c r="C279" s="24"/>
      <c r="D279" s="24"/>
      <c r="E279" s="25"/>
      <c r="F279" s="24"/>
    </row>
    <row r="280">
      <c r="A280" s="24"/>
      <c r="B280" s="7"/>
      <c r="C280" s="24"/>
      <c r="D280" s="24"/>
      <c r="E280" s="25"/>
      <c r="F280" s="24"/>
    </row>
    <row r="281">
      <c r="A281" s="24"/>
      <c r="B281" s="7"/>
      <c r="C281" s="24"/>
      <c r="D281" s="24"/>
      <c r="E281" s="25"/>
      <c r="F281" s="24"/>
    </row>
    <row r="282">
      <c r="A282" s="24"/>
      <c r="B282" s="7"/>
      <c r="C282" s="24"/>
      <c r="D282" s="24"/>
      <c r="E282" s="25"/>
      <c r="F282" s="24"/>
    </row>
    <row r="283">
      <c r="A283" s="24"/>
      <c r="B283" s="7"/>
      <c r="C283" s="24"/>
      <c r="D283" s="24"/>
      <c r="E283" s="25"/>
      <c r="F283" s="24"/>
    </row>
    <row r="284">
      <c r="A284" s="24"/>
      <c r="B284" s="7"/>
      <c r="C284" s="24"/>
      <c r="D284" s="24"/>
      <c r="E284" s="25"/>
      <c r="F284" s="24"/>
    </row>
    <row r="285">
      <c r="A285" s="24"/>
      <c r="B285" s="7"/>
      <c r="C285" s="24"/>
      <c r="D285" s="24"/>
      <c r="E285" s="25"/>
      <c r="F285" s="24"/>
    </row>
    <row r="286">
      <c r="A286" s="24"/>
      <c r="B286" s="7"/>
      <c r="C286" s="24"/>
      <c r="D286" s="24"/>
      <c r="E286" s="25"/>
      <c r="F286" s="24"/>
    </row>
    <row r="287">
      <c r="A287" s="24"/>
      <c r="B287" s="7"/>
      <c r="C287" s="24"/>
      <c r="D287" s="24"/>
      <c r="E287" s="25"/>
      <c r="F287" s="24"/>
    </row>
    <row r="288">
      <c r="A288" s="24"/>
      <c r="B288" s="7"/>
      <c r="C288" s="24"/>
      <c r="D288" s="24"/>
      <c r="E288" s="25"/>
      <c r="F288" s="24"/>
    </row>
    <row r="289">
      <c r="A289" s="24"/>
      <c r="B289" s="7"/>
      <c r="C289" s="24"/>
      <c r="D289" s="24"/>
      <c r="E289" s="25"/>
      <c r="F289" s="24"/>
    </row>
    <row r="290">
      <c r="A290" s="24"/>
      <c r="B290" s="7"/>
      <c r="C290" s="24"/>
      <c r="D290" s="24"/>
      <c r="E290" s="25"/>
      <c r="F290" s="24"/>
    </row>
    <row r="291">
      <c r="A291" s="24"/>
      <c r="B291" s="7"/>
      <c r="C291" s="24"/>
      <c r="D291" s="24"/>
      <c r="E291" s="25"/>
      <c r="F291" s="24"/>
    </row>
    <row r="292">
      <c r="A292" s="24"/>
      <c r="B292" s="7"/>
      <c r="C292" s="24"/>
      <c r="D292" s="24"/>
      <c r="E292" s="25"/>
      <c r="F292" s="24"/>
    </row>
    <row r="293">
      <c r="A293" s="24"/>
      <c r="B293" s="7"/>
      <c r="C293" s="24"/>
      <c r="D293" s="24"/>
      <c r="E293" s="25"/>
      <c r="F293" s="24"/>
    </row>
    <row r="294">
      <c r="A294" s="24"/>
      <c r="B294" s="7"/>
      <c r="C294" s="24"/>
      <c r="D294" s="24"/>
      <c r="E294" s="25"/>
      <c r="F294" s="24"/>
    </row>
    <row r="295">
      <c r="A295" s="24"/>
      <c r="B295" s="7"/>
      <c r="C295" s="24"/>
      <c r="D295" s="24"/>
      <c r="E295" s="25"/>
      <c r="F295" s="24"/>
    </row>
    <row r="296">
      <c r="A296" s="24"/>
      <c r="B296" s="7"/>
      <c r="C296" s="24"/>
      <c r="D296" s="24"/>
      <c r="E296" s="25"/>
      <c r="F296" s="24"/>
    </row>
    <row r="297">
      <c r="A297" s="24"/>
      <c r="B297" s="7"/>
      <c r="C297" s="24"/>
      <c r="D297" s="24"/>
      <c r="E297" s="25"/>
      <c r="F297" s="24"/>
    </row>
    <row r="298">
      <c r="A298" s="24"/>
      <c r="B298" s="7"/>
      <c r="C298" s="24"/>
      <c r="D298" s="24"/>
      <c r="E298" s="25"/>
      <c r="F298" s="24"/>
    </row>
    <row r="299">
      <c r="A299" s="24"/>
      <c r="B299" s="7"/>
      <c r="C299" s="24"/>
      <c r="D299" s="24"/>
      <c r="E299" s="25"/>
      <c r="F299" s="24"/>
    </row>
    <row r="300">
      <c r="A300" s="24"/>
      <c r="B300" s="7"/>
      <c r="C300" s="24"/>
      <c r="D300" s="24"/>
      <c r="E300" s="25"/>
      <c r="F300" s="24"/>
    </row>
    <row r="301">
      <c r="A301" s="24"/>
      <c r="B301" s="7"/>
      <c r="C301" s="24"/>
      <c r="D301" s="24"/>
      <c r="E301" s="25"/>
      <c r="F301" s="24"/>
    </row>
    <row r="302">
      <c r="A302" s="24"/>
      <c r="B302" s="7"/>
      <c r="C302" s="24"/>
      <c r="D302" s="24"/>
      <c r="E302" s="25"/>
      <c r="F302" s="24"/>
    </row>
    <row r="303">
      <c r="A303" s="24"/>
      <c r="B303" s="7"/>
      <c r="C303" s="24"/>
      <c r="D303" s="24"/>
      <c r="E303" s="25"/>
      <c r="F303" s="24"/>
    </row>
    <row r="304">
      <c r="A304" s="24"/>
      <c r="B304" s="7"/>
      <c r="C304" s="24"/>
      <c r="D304" s="24"/>
      <c r="E304" s="25"/>
      <c r="F304" s="24"/>
    </row>
    <row r="305">
      <c r="A305" s="24"/>
      <c r="B305" s="7"/>
      <c r="C305" s="24"/>
      <c r="D305" s="24"/>
      <c r="E305" s="25"/>
      <c r="F305" s="24"/>
    </row>
    <row r="306">
      <c r="A306" s="24"/>
      <c r="B306" s="7"/>
      <c r="C306" s="24"/>
      <c r="D306" s="24"/>
      <c r="E306" s="25"/>
      <c r="F306" s="24"/>
    </row>
    <row r="307">
      <c r="A307" s="24"/>
      <c r="B307" s="7"/>
      <c r="C307" s="24"/>
      <c r="D307" s="24"/>
      <c r="E307" s="25"/>
      <c r="F307" s="24"/>
    </row>
    <row r="308">
      <c r="A308" s="24"/>
      <c r="B308" s="7"/>
      <c r="C308" s="24"/>
      <c r="D308" s="24"/>
      <c r="E308" s="25"/>
      <c r="F308" s="24"/>
    </row>
    <row r="309">
      <c r="A309" s="24"/>
      <c r="B309" s="7"/>
      <c r="C309" s="24"/>
      <c r="D309" s="24"/>
      <c r="E309" s="25"/>
      <c r="F309" s="24"/>
    </row>
    <row r="310">
      <c r="A310" s="24"/>
      <c r="B310" s="7"/>
      <c r="C310" s="24"/>
      <c r="D310" s="24"/>
      <c r="E310" s="25"/>
      <c r="F310" s="24"/>
    </row>
    <row r="311">
      <c r="A311" s="24"/>
      <c r="B311" s="7"/>
      <c r="C311" s="24"/>
      <c r="D311" s="24"/>
      <c r="E311" s="25"/>
      <c r="F311" s="24"/>
    </row>
    <row r="312">
      <c r="A312" s="24"/>
      <c r="B312" s="7"/>
      <c r="C312" s="24"/>
      <c r="D312" s="24"/>
      <c r="E312" s="25"/>
      <c r="F312" s="24"/>
    </row>
    <row r="313">
      <c r="A313" s="24"/>
      <c r="B313" s="7"/>
      <c r="C313" s="24"/>
      <c r="D313" s="24"/>
      <c r="E313" s="25"/>
      <c r="F313" s="24"/>
    </row>
    <row r="314">
      <c r="A314" s="24"/>
      <c r="B314" s="7"/>
      <c r="C314" s="24"/>
      <c r="D314" s="24"/>
      <c r="E314" s="25"/>
      <c r="F314" s="24"/>
    </row>
    <row r="315">
      <c r="A315" s="24"/>
      <c r="B315" s="7"/>
      <c r="C315" s="24"/>
      <c r="D315" s="24"/>
      <c r="E315" s="25"/>
      <c r="F315" s="24"/>
    </row>
    <row r="316">
      <c r="A316" s="24"/>
      <c r="B316" s="7"/>
      <c r="C316" s="24"/>
      <c r="D316" s="24"/>
      <c r="E316" s="25"/>
      <c r="F316" s="24"/>
    </row>
    <row r="317">
      <c r="A317" s="24"/>
      <c r="B317" s="7"/>
      <c r="C317" s="24"/>
      <c r="D317" s="24"/>
      <c r="E317" s="25"/>
      <c r="F317" s="24"/>
    </row>
    <row r="318">
      <c r="A318" s="24"/>
      <c r="B318" s="7"/>
      <c r="C318" s="24"/>
      <c r="D318" s="24"/>
      <c r="E318" s="25"/>
      <c r="F318" s="24"/>
    </row>
    <row r="319">
      <c r="A319" s="24"/>
      <c r="B319" s="7"/>
      <c r="C319" s="24"/>
      <c r="D319" s="24"/>
      <c r="E319" s="25"/>
      <c r="F319" s="24"/>
    </row>
    <row r="320">
      <c r="A320" s="24"/>
      <c r="B320" s="7"/>
      <c r="C320" s="24"/>
      <c r="D320" s="24"/>
      <c r="E320" s="25"/>
      <c r="F320" s="24"/>
    </row>
    <row r="321">
      <c r="A321" s="24"/>
      <c r="B321" s="7"/>
      <c r="C321" s="24"/>
      <c r="D321" s="24"/>
      <c r="E321" s="25"/>
      <c r="F321" s="24"/>
    </row>
    <row r="322">
      <c r="A322" s="24"/>
      <c r="B322" s="7"/>
      <c r="C322" s="24"/>
      <c r="D322" s="24"/>
      <c r="E322" s="25"/>
      <c r="F322" s="24"/>
    </row>
    <row r="323">
      <c r="A323" s="24"/>
      <c r="B323" s="7"/>
      <c r="C323" s="24"/>
      <c r="D323" s="24"/>
      <c r="E323" s="25"/>
      <c r="F323" s="24"/>
    </row>
    <row r="324">
      <c r="A324" s="24"/>
      <c r="B324" s="7"/>
      <c r="C324" s="24"/>
      <c r="D324" s="24"/>
      <c r="E324" s="25"/>
      <c r="F324" s="24"/>
    </row>
    <row r="325">
      <c r="A325" s="24"/>
      <c r="B325" s="7"/>
      <c r="C325" s="24"/>
      <c r="D325" s="24"/>
      <c r="E325" s="25"/>
      <c r="F325" s="24"/>
    </row>
    <row r="326">
      <c r="A326" s="24"/>
      <c r="B326" s="7"/>
      <c r="C326" s="24"/>
      <c r="D326" s="24"/>
      <c r="E326" s="25"/>
      <c r="F326" s="24"/>
    </row>
    <row r="327">
      <c r="A327" s="24"/>
      <c r="B327" s="7"/>
      <c r="C327" s="24"/>
      <c r="D327" s="24"/>
      <c r="E327" s="25"/>
      <c r="F327" s="24"/>
    </row>
    <row r="328">
      <c r="A328" s="24"/>
      <c r="B328" s="7"/>
      <c r="C328" s="24"/>
      <c r="D328" s="24"/>
      <c r="E328" s="25"/>
      <c r="F328" s="24"/>
    </row>
    <row r="329">
      <c r="A329" s="24"/>
      <c r="B329" s="7"/>
      <c r="C329" s="24"/>
      <c r="D329" s="24"/>
      <c r="E329" s="25"/>
      <c r="F329" s="24"/>
    </row>
    <row r="330">
      <c r="A330" s="24"/>
      <c r="B330" s="7"/>
      <c r="C330" s="24"/>
      <c r="D330" s="24"/>
      <c r="E330" s="25"/>
      <c r="F330" s="24"/>
    </row>
    <row r="331">
      <c r="A331" s="24"/>
      <c r="B331" s="7"/>
      <c r="C331" s="24"/>
      <c r="D331" s="24"/>
      <c r="E331" s="25"/>
      <c r="F331" s="24"/>
    </row>
    <row r="332">
      <c r="A332" s="24"/>
      <c r="B332" s="7"/>
      <c r="C332" s="24"/>
      <c r="D332" s="24"/>
      <c r="E332" s="25"/>
      <c r="F332" s="24"/>
    </row>
    <row r="333">
      <c r="A333" s="24"/>
      <c r="B333" s="7"/>
      <c r="C333" s="24"/>
      <c r="D333" s="24"/>
      <c r="E333" s="25"/>
      <c r="F333" s="24"/>
    </row>
    <row r="334">
      <c r="A334" s="24"/>
      <c r="B334" s="7"/>
      <c r="C334" s="24"/>
      <c r="D334" s="24"/>
      <c r="E334" s="25"/>
      <c r="F334" s="24"/>
    </row>
    <row r="335">
      <c r="A335" s="24"/>
      <c r="B335" s="7"/>
      <c r="C335" s="24"/>
      <c r="D335" s="24"/>
      <c r="E335" s="25"/>
      <c r="F335" s="24"/>
    </row>
    <row r="336">
      <c r="A336" s="24"/>
      <c r="B336" s="7"/>
      <c r="C336" s="24"/>
      <c r="D336" s="24"/>
      <c r="E336" s="25"/>
      <c r="F336" s="24"/>
    </row>
    <row r="337">
      <c r="A337" s="24"/>
      <c r="B337" s="7"/>
      <c r="C337" s="24"/>
      <c r="D337" s="24"/>
      <c r="E337" s="25"/>
      <c r="F337" s="24"/>
    </row>
    <row r="338">
      <c r="A338" s="24"/>
      <c r="B338" s="7"/>
      <c r="C338" s="24"/>
      <c r="D338" s="24"/>
      <c r="E338" s="25"/>
      <c r="F338" s="24"/>
    </row>
    <row r="339">
      <c r="A339" s="24"/>
      <c r="B339" s="7"/>
      <c r="C339" s="24"/>
      <c r="D339" s="24"/>
      <c r="E339" s="25"/>
      <c r="F339" s="24"/>
    </row>
    <row r="340">
      <c r="A340" s="24"/>
      <c r="B340" s="7"/>
      <c r="C340" s="24"/>
      <c r="D340" s="24"/>
      <c r="E340" s="25"/>
      <c r="F340" s="24"/>
    </row>
    <row r="341">
      <c r="A341" s="24"/>
      <c r="B341" s="7"/>
      <c r="C341" s="24"/>
      <c r="D341" s="24"/>
      <c r="E341" s="25"/>
      <c r="F341" s="24"/>
    </row>
    <row r="342">
      <c r="A342" s="24"/>
      <c r="B342" s="7"/>
      <c r="C342" s="24"/>
      <c r="D342" s="24"/>
      <c r="E342" s="25"/>
      <c r="F342" s="24"/>
    </row>
    <row r="343">
      <c r="A343" s="24"/>
      <c r="B343" s="7"/>
      <c r="C343" s="24"/>
      <c r="D343" s="24"/>
      <c r="E343" s="25"/>
      <c r="F343" s="24"/>
    </row>
    <row r="344">
      <c r="A344" s="24"/>
      <c r="B344" s="7"/>
      <c r="C344" s="24"/>
      <c r="D344" s="24"/>
      <c r="E344" s="25"/>
      <c r="F344" s="24"/>
    </row>
    <row r="345">
      <c r="A345" s="24"/>
      <c r="B345" s="7"/>
      <c r="C345" s="24"/>
      <c r="D345" s="24"/>
      <c r="E345" s="25"/>
      <c r="F345" s="24"/>
    </row>
    <row r="346">
      <c r="A346" s="24"/>
      <c r="B346" s="7"/>
      <c r="C346" s="24"/>
      <c r="D346" s="24"/>
      <c r="E346" s="25"/>
      <c r="F346" s="24"/>
    </row>
    <row r="347">
      <c r="A347" s="24"/>
      <c r="B347" s="7"/>
      <c r="C347" s="24"/>
      <c r="D347" s="24"/>
      <c r="E347" s="25"/>
      <c r="F347" s="24"/>
    </row>
    <row r="348">
      <c r="A348" s="24"/>
      <c r="B348" s="7"/>
      <c r="C348" s="24"/>
      <c r="D348" s="24"/>
      <c r="E348" s="25"/>
      <c r="F348" s="24"/>
    </row>
    <row r="349">
      <c r="A349" s="24"/>
      <c r="B349" s="7"/>
      <c r="C349" s="24"/>
      <c r="D349" s="24"/>
      <c r="E349" s="25"/>
      <c r="F349" s="24"/>
    </row>
    <row r="350">
      <c r="A350" s="24"/>
      <c r="B350" s="7"/>
      <c r="C350" s="24"/>
      <c r="D350" s="24"/>
      <c r="E350" s="25"/>
      <c r="F350" s="24"/>
    </row>
    <row r="351">
      <c r="A351" s="24"/>
      <c r="B351" s="7"/>
      <c r="C351" s="24"/>
      <c r="D351" s="24"/>
      <c r="E351" s="25"/>
      <c r="F351" s="24"/>
    </row>
    <row r="352">
      <c r="A352" s="24"/>
      <c r="B352" s="7"/>
      <c r="C352" s="24"/>
      <c r="D352" s="24"/>
      <c r="E352" s="25"/>
      <c r="F352" s="24"/>
    </row>
    <row r="353">
      <c r="A353" s="24"/>
      <c r="B353" s="7"/>
      <c r="C353" s="24"/>
      <c r="D353" s="24"/>
      <c r="E353" s="25"/>
      <c r="F353" s="24"/>
    </row>
    <row r="354">
      <c r="A354" s="24"/>
      <c r="B354" s="7"/>
      <c r="C354" s="24"/>
      <c r="D354" s="24"/>
      <c r="E354" s="25"/>
      <c r="F354" s="24"/>
    </row>
    <row r="355">
      <c r="A355" s="24"/>
      <c r="B355" s="7"/>
      <c r="C355" s="24"/>
      <c r="D355" s="24"/>
      <c r="E355" s="25"/>
      <c r="F355" s="24"/>
    </row>
    <row r="356">
      <c r="A356" s="24"/>
      <c r="B356" s="7"/>
      <c r="C356" s="24"/>
      <c r="D356" s="24"/>
      <c r="E356" s="25"/>
      <c r="F356" s="24"/>
    </row>
    <row r="357">
      <c r="A357" s="24"/>
      <c r="B357" s="7"/>
      <c r="C357" s="24"/>
      <c r="D357" s="24"/>
      <c r="E357" s="25"/>
      <c r="F357" s="24"/>
    </row>
    <row r="358">
      <c r="A358" s="24"/>
      <c r="B358" s="7"/>
      <c r="C358" s="24"/>
      <c r="D358" s="24"/>
      <c r="E358" s="25"/>
      <c r="F358" s="24"/>
    </row>
    <row r="359">
      <c r="A359" s="24"/>
      <c r="B359" s="7"/>
      <c r="C359" s="24"/>
      <c r="D359" s="24"/>
      <c r="E359" s="25"/>
      <c r="F359" s="24"/>
    </row>
    <row r="360">
      <c r="A360" s="24"/>
      <c r="B360" s="7"/>
      <c r="C360" s="24"/>
      <c r="D360" s="24"/>
      <c r="E360" s="25"/>
      <c r="F360" s="24"/>
    </row>
    <row r="361">
      <c r="A361" s="24"/>
      <c r="B361" s="7"/>
      <c r="C361" s="24"/>
      <c r="D361" s="24"/>
      <c r="E361" s="25"/>
      <c r="F361" s="24"/>
    </row>
    <row r="362">
      <c r="A362" s="24"/>
      <c r="B362" s="7"/>
      <c r="C362" s="24"/>
      <c r="D362" s="24"/>
      <c r="E362" s="25"/>
      <c r="F362" s="24"/>
    </row>
    <row r="363">
      <c r="A363" s="24"/>
      <c r="B363" s="7"/>
      <c r="C363" s="24"/>
      <c r="D363" s="24"/>
      <c r="E363" s="25"/>
      <c r="F363" s="24"/>
    </row>
    <row r="364">
      <c r="A364" s="24"/>
      <c r="B364" s="7"/>
      <c r="C364" s="24"/>
      <c r="D364" s="24"/>
      <c r="E364" s="25"/>
      <c r="F364" s="24"/>
    </row>
    <row r="365">
      <c r="A365" s="24"/>
      <c r="B365" s="7"/>
      <c r="C365" s="24"/>
      <c r="D365" s="24"/>
      <c r="E365" s="25"/>
      <c r="F365" s="24"/>
    </row>
    <row r="366">
      <c r="A366" s="24"/>
      <c r="B366" s="7"/>
      <c r="C366" s="24"/>
      <c r="D366" s="24"/>
      <c r="E366" s="25"/>
      <c r="F366" s="24"/>
    </row>
    <row r="367">
      <c r="A367" s="24"/>
      <c r="B367" s="7"/>
      <c r="C367" s="24"/>
      <c r="D367" s="24"/>
      <c r="E367" s="25"/>
      <c r="F367" s="24"/>
    </row>
    <row r="368">
      <c r="A368" s="24"/>
      <c r="B368" s="7"/>
      <c r="C368" s="24"/>
      <c r="D368" s="24"/>
      <c r="E368" s="25"/>
      <c r="F368" s="24"/>
    </row>
    <row r="369">
      <c r="A369" s="24"/>
      <c r="B369" s="7"/>
      <c r="C369" s="24"/>
      <c r="D369" s="24"/>
      <c r="E369" s="25"/>
      <c r="F369" s="24"/>
    </row>
    <row r="370">
      <c r="A370" s="24"/>
      <c r="B370" s="7"/>
      <c r="C370" s="24"/>
      <c r="D370" s="24"/>
      <c r="E370" s="25"/>
      <c r="F370" s="24"/>
    </row>
    <row r="371">
      <c r="A371" s="24"/>
      <c r="B371" s="7"/>
      <c r="C371" s="24"/>
      <c r="D371" s="24"/>
      <c r="E371" s="25"/>
      <c r="F371" s="24"/>
    </row>
    <row r="372">
      <c r="A372" s="24"/>
      <c r="B372" s="7"/>
      <c r="C372" s="24"/>
      <c r="D372" s="24"/>
      <c r="E372" s="25"/>
      <c r="F372" s="24"/>
    </row>
    <row r="373">
      <c r="A373" s="24"/>
      <c r="B373" s="7"/>
      <c r="C373" s="24"/>
      <c r="D373" s="24"/>
      <c r="E373" s="25"/>
      <c r="F373" s="24"/>
    </row>
    <row r="374">
      <c r="A374" s="24"/>
      <c r="B374" s="7"/>
      <c r="C374" s="24"/>
      <c r="D374" s="24"/>
      <c r="E374" s="25"/>
      <c r="F374" s="24"/>
    </row>
    <row r="375">
      <c r="A375" s="24"/>
      <c r="B375" s="7"/>
      <c r="C375" s="24"/>
      <c r="D375" s="24"/>
      <c r="E375" s="25"/>
      <c r="F375" s="24"/>
    </row>
    <row r="376">
      <c r="A376" s="24"/>
      <c r="B376" s="7"/>
      <c r="C376" s="24"/>
      <c r="D376" s="24"/>
      <c r="E376" s="25"/>
      <c r="F376" s="24"/>
    </row>
    <row r="377">
      <c r="A377" s="24"/>
      <c r="B377" s="7"/>
      <c r="C377" s="24"/>
      <c r="D377" s="24"/>
      <c r="E377" s="25"/>
      <c r="F377" s="24"/>
    </row>
    <row r="378">
      <c r="A378" s="24"/>
      <c r="B378" s="7"/>
      <c r="C378" s="24"/>
      <c r="D378" s="24"/>
      <c r="E378" s="25"/>
      <c r="F378" s="24"/>
    </row>
    <row r="379">
      <c r="A379" s="24"/>
      <c r="B379" s="7"/>
      <c r="C379" s="24"/>
      <c r="D379" s="24"/>
      <c r="E379" s="25"/>
      <c r="F379" s="24"/>
    </row>
    <row r="380">
      <c r="A380" s="24"/>
      <c r="B380" s="7"/>
      <c r="C380" s="24"/>
      <c r="D380" s="24"/>
      <c r="E380" s="25"/>
      <c r="F380" s="24"/>
    </row>
    <row r="381">
      <c r="A381" s="24"/>
      <c r="B381" s="7"/>
      <c r="C381" s="24"/>
      <c r="D381" s="24"/>
      <c r="E381" s="25"/>
      <c r="F381" s="24"/>
    </row>
    <row r="382">
      <c r="A382" s="24"/>
      <c r="B382" s="7"/>
      <c r="C382" s="24"/>
      <c r="D382" s="24"/>
      <c r="E382" s="25"/>
      <c r="F382" s="24"/>
    </row>
    <row r="383">
      <c r="A383" s="24"/>
      <c r="B383" s="7"/>
      <c r="C383" s="24"/>
      <c r="D383" s="24"/>
      <c r="E383" s="25"/>
      <c r="F383" s="24"/>
    </row>
    <row r="384">
      <c r="A384" s="24"/>
      <c r="B384" s="7"/>
      <c r="C384" s="24"/>
      <c r="D384" s="24"/>
      <c r="E384" s="25"/>
      <c r="F384" s="24"/>
    </row>
    <row r="385">
      <c r="A385" s="24"/>
      <c r="B385" s="7"/>
      <c r="C385" s="24"/>
      <c r="D385" s="24"/>
      <c r="E385" s="25"/>
      <c r="F385" s="24"/>
    </row>
    <row r="386">
      <c r="A386" s="24"/>
      <c r="B386" s="7"/>
      <c r="C386" s="24"/>
      <c r="D386" s="24"/>
      <c r="E386" s="25"/>
      <c r="F386" s="24"/>
    </row>
    <row r="387">
      <c r="A387" s="24"/>
      <c r="B387" s="7"/>
      <c r="C387" s="24"/>
      <c r="D387" s="24"/>
      <c r="E387" s="25"/>
      <c r="F387" s="24"/>
    </row>
    <row r="388">
      <c r="A388" s="24"/>
      <c r="B388" s="7"/>
      <c r="C388" s="24"/>
      <c r="D388" s="24"/>
      <c r="E388" s="25"/>
      <c r="F388" s="24"/>
    </row>
    <row r="389">
      <c r="A389" s="24"/>
      <c r="B389" s="7"/>
      <c r="C389" s="24"/>
      <c r="D389" s="24"/>
      <c r="E389" s="25"/>
      <c r="F389" s="24"/>
    </row>
    <row r="390">
      <c r="A390" s="24"/>
      <c r="B390" s="7"/>
      <c r="C390" s="24"/>
      <c r="D390" s="24"/>
      <c r="E390" s="25"/>
      <c r="F390" s="24"/>
    </row>
    <row r="391">
      <c r="A391" s="24"/>
      <c r="B391" s="7"/>
      <c r="C391" s="24"/>
      <c r="D391" s="24"/>
      <c r="E391" s="25"/>
      <c r="F391" s="24"/>
    </row>
    <row r="392">
      <c r="A392" s="24"/>
      <c r="B392" s="7"/>
      <c r="C392" s="24"/>
      <c r="D392" s="24"/>
      <c r="E392" s="25"/>
      <c r="F392" s="24"/>
    </row>
    <row r="393">
      <c r="A393" s="24"/>
      <c r="B393" s="7"/>
      <c r="C393" s="24"/>
      <c r="D393" s="24"/>
      <c r="E393" s="25"/>
      <c r="F393" s="24"/>
    </row>
    <row r="394">
      <c r="A394" s="24"/>
      <c r="B394" s="7"/>
      <c r="C394" s="24"/>
      <c r="D394" s="24"/>
      <c r="E394" s="25"/>
      <c r="F394" s="24"/>
    </row>
    <row r="395">
      <c r="A395" s="24"/>
      <c r="B395" s="7"/>
      <c r="C395" s="24"/>
      <c r="D395" s="24"/>
      <c r="E395" s="25"/>
      <c r="F395" s="24"/>
    </row>
    <row r="396">
      <c r="A396" s="24"/>
      <c r="B396" s="7"/>
      <c r="C396" s="24"/>
      <c r="D396" s="24"/>
      <c r="E396" s="25"/>
      <c r="F396" s="24"/>
    </row>
    <row r="397">
      <c r="A397" s="24"/>
      <c r="B397" s="7"/>
      <c r="C397" s="24"/>
      <c r="D397" s="24"/>
      <c r="E397" s="25"/>
      <c r="F397" s="24"/>
    </row>
    <row r="398">
      <c r="A398" s="24"/>
      <c r="B398" s="7"/>
      <c r="C398" s="24"/>
      <c r="D398" s="24"/>
      <c r="E398" s="25"/>
      <c r="F398" s="24"/>
    </row>
    <row r="399">
      <c r="A399" s="24"/>
      <c r="B399" s="7"/>
      <c r="C399" s="24"/>
      <c r="D399" s="24"/>
      <c r="E399" s="25"/>
      <c r="F399" s="24"/>
    </row>
    <row r="400">
      <c r="A400" s="24"/>
      <c r="B400" s="7"/>
      <c r="C400" s="24"/>
      <c r="D400" s="24"/>
      <c r="E400" s="25"/>
      <c r="F400" s="24"/>
    </row>
    <row r="401">
      <c r="A401" s="24"/>
      <c r="B401" s="7"/>
      <c r="C401" s="24"/>
      <c r="D401" s="24"/>
      <c r="E401" s="25"/>
      <c r="F401" s="24"/>
    </row>
    <row r="402">
      <c r="A402" s="24"/>
      <c r="B402" s="7"/>
      <c r="C402" s="24"/>
      <c r="D402" s="24"/>
      <c r="E402" s="25"/>
      <c r="F402" s="24"/>
    </row>
    <row r="403">
      <c r="A403" s="24"/>
      <c r="B403" s="7"/>
      <c r="C403" s="24"/>
      <c r="D403" s="24"/>
      <c r="E403" s="25"/>
      <c r="F403" s="24"/>
    </row>
    <row r="404">
      <c r="A404" s="24"/>
      <c r="B404" s="7"/>
      <c r="C404" s="24"/>
      <c r="D404" s="24"/>
      <c r="E404" s="25"/>
      <c r="F404" s="24"/>
    </row>
    <row r="405">
      <c r="A405" s="24"/>
      <c r="B405" s="7"/>
      <c r="C405" s="24"/>
      <c r="D405" s="24"/>
      <c r="E405" s="25"/>
      <c r="F405" s="24"/>
    </row>
    <row r="406">
      <c r="A406" s="24"/>
      <c r="B406" s="7"/>
      <c r="C406" s="24"/>
      <c r="D406" s="24"/>
      <c r="E406" s="25"/>
      <c r="F406" s="24"/>
    </row>
    <row r="407">
      <c r="A407" s="24"/>
      <c r="B407" s="7"/>
      <c r="C407" s="24"/>
      <c r="D407" s="24"/>
      <c r="E407" s="25"/>
      <c r="F407" s="24"/>
    </row>
    <row r="408">
      <c r="A408" s="24"/>
      <c r="B408" s="7"/>
      <c r="C408" s="24"/>
      <c r="D408" s="24"/>
      <c r="E408" s="25"/>
      <c r="F408" s="24"/>
    </row>
    <row r="409">
      <c r="A409" s="24"/>
      <c r="B409" s="7"/>
      <c r="C409" s="24"/>
      <c r="D409" s="24"/>
      <c r="E409" s="25"/>
      <c r="F409" s="24"/>
    </row>
    <row r="410">
      <c r="A410" s="24"/>
      <c r="B410" s="7"/>
      <c r="C410" s="24"/>
      <c r="D410" s="24"/>
      <c r="E410" s="25"/>
      <c r="F410" s="24"/>
    </row>
    <row r="411">
      <c r="A411" s="24"/>
      <c r="B411" s="7"/>
      <c r="C411" s="24"/>
      <c r="D411" s="24"/>
      <c r="E411" s="25"/>
      <c r="F411" s="24"/>
    </row>
    <row r="412">
      <c r="A412" s="24"/>
      <c r="B412" s="7"/>
      <c r="C412" s="24"/>
      <c r="D412" s="24"/>
      <c r="E412" s="25"/>
      <c r="F412" s="24"/>
    </row>
    <row r="413">
      <c r="A413" s="24"/>
      <c r="B413" s="7"/>
      <c r="C413" s="24"/>
      <c r="D413" s="24"/>
      <c r="E413" s="25"/>
      <c r="F413" s="24"/>
    </row>
    <row r="414">
      <c r="A414" s="24"/>
      <c r="B414" s="7"/>
      <c r="C414" s="24"/>
      <c r="D414" s="24"/>
      <c r="E414" s="25"/>
      <c r="F414" s="24"/>
    </row>
    <row r="415">
      <c r="A415" s="24"/>
      <c r="B415" s="7"/>
      <c r="C415" s="24"/>
      <c r="D415" s="24"/>
      <c r="E415" s="25"/>
      <c r="F415" s="24"/>
    </row>
    <row r="416">
      <c r="A416" s="24"/>
      <c r="B416" s="7"/>
      <c r="C416" s="24"/>
      <c r="D416" s="24"/>
      <c r="E416" s="25"/>
      <c r="F416" s="24"/>
    </row>
    <row r="417">
      <c r="A417" s="24"/>
      <c r="B417" s="7"/>
      <c r="C417" s="24"/>
      <c r="D417" s="24"/>
      <c r="E417" s="25"/>
      <c r="F417" s="24"/>
    </row>
    <row r="418">
      <c r="A418" s="24"/>
      <c r="B418" s="7"/>
      <c r="C418" s="24"/>
      <c r="D418" s="24"/>
      <c r="E418" s="25"/>
      <c r="F418" s="24"/>
    </row>
    <row r="419">
      <c r="A419" s="24"/>
      <c r="B419" s="7"/>
      <c r="C419" s="24"/>
      <c r="D419" s="24"/>
      <c r="E419" s="25"/>
      <c r="F419" s="24"/>
    </row>
    <row r="420">
      <c r="A420" s="24"/>
      <c r="B420" s="7"/>
      <c r="C420" s="24"/>
      <c r="D420" s="24"/>
      <c r="E420" s="25"/>
      <c r="F420" s="24"/>
    </row>
    <row r="421">
      <c r="A421" s="24"/>
      <c r="B421" s="7"/>
      <c r="C421" s="24"/>
      <c r="D421" s="24"/>
      <c r="E421" s="25"/>
      <c r="F421" s="24"/>
    </row>
    <row r="422">
      <c r="A422" s="24"/>
      <c r="B422" s="7"/>
      <c r="C422" s="24"/>
      <c r="D422" s="24"/>
      <c r="E422" s="25"/>
      <c r="F422" s="24"/>
    </row>
    <row r="423">
      <c r="A423" s="24"/>
      <c r="B423" s="7"/>
      <c r="C423" s="24"/>
      <c r="D423" s="24"/>
      <c r="E423" s="25"/>
      <c r="F423" s="24"/>
    </row>
    <row r="424">
      <c r="A424" s="24"/>
      <c r="B424" s="7"/>
      <c r="C424" s="24"/>
      <c r="D424" s="24"/>
      <c r="E424" s="25"/>
      <c r="F424" s="24"/>
    </row>
    <row r="425">
      <c r="A425" s="24"/>
      <c r="B425" s="7"/>
      <c r="C425" s="24"/>
      <c r="D425" s="24"/>
      <c r="E425" s="25"/>
      <c r="F425" s="24"/>
    </row>
    <row r="426">
      <c r="A426" s="24"/>
      <c r="B426" s="7"/>
      <c r="C426" s="24"/>
      <c r="D426" s="24"/>
      <c r="E426" s="25"/>
      <c r="F426" s="24"/>
    </row>
    <row r="427">
      <c r="A427" s="24"/>
      <c r="B427" s="7"/>
      <c r="C427" s="24"/>
      <c r="D427" s="24"/>
      <c r="E427" s="25"/>
      <c r="F427" s="24"/>
    </row>
    <row r="428">
      <c r="A428" s="24"/>
      <c r="B428" s="7"/>
      <c r="C428" s="24"/>
      <c r="D428" s="24"/>
      <c r="E428" s="25"/>
      <c r="F428" s="24"/>
    </row>
    <row r="429">
      <c r="A429" s="24"/>
      <c r="B429" s="7"/>
      <c r="C429" s="24"/>
      <c r="D429" s="24"/>
      <c r="E429" s="25"/>
      <c r="F429" s="24"/>
    </row>
    <row r="430">
      <c r="A430" s="24"/>
      <c r="B430" s="7"/>
      <c r="C430" s="24"/>
      <c r="D430" s="24"/>
      <c r="E430" s="25"/>
      <c r="F430" s="24"/>
    </row>
    <row r="431">
      <c r="A431" s="24"/>
      <c r="B431" s="7"/>
      <c r="C431" s="24"/>
      <c r="D431" s="24"/>
      <c r="E431" s="25"/>
      <c r="F431" s="24"/>
    </row>
    <row r="432">
      <c r="A432" s="24"/>
      <c r="B432" s="7"/>
      <c r="C432" s="24"/>
      <c r="D432" s="24"/>
      <c r="E432" s="25"/>
      <c r="F432" s="24"/>
    </row>
    <row r="433">
      <c r="A433" s="24"/>
      <c r="B433" s="7"/>
      <c r="C433" s="24"/>
      <c r="D433" s="24"/>
      <c r="E433" s="25"/>
      <c r="F433" s="24"/>
    </row>
    <row r="434">
      <c r="A434" s="24"/>
      <c r="B434" s="7"/>
      <c r="C434" s="24"/>
      <c r="D434" s="24"/>
      <c r="E434" s="25"/>
      <c r="F434" s="24"/>
    </row>
    <row r="435">
      <c r="A435" s="24"/>
      <c r="B435" s="7"/>
      <c r="C435" s="24"/>
      <c r="D435" s="24"/>
      <c r="E435" s="25"/>
      <c r="F435" s="24"/>
    </row>
    <row r="436">
      <c r="A436" s="24"/>
      <c r="B436" s="7"/>
      <c r="C436" s="24"/>
      <c r="D436" s="24"/>
      <c r="E436" s="25"/>
      <c r="F436" s="24"/>
    </row>
    <row r="437">
      <c r="A437" s="24"/>
      <c r="B437" s="7"/>
      <c r="C437" s="24"/>
      <c r="D437" s="24"/>
      <c r="E437" s="25"/>
      <c r="F437" s="24"/>
    </row>
    <row r="438">
      <c r="A438" s="24"/>
      <c r="B438" s="7"/>
      <c r="C438" s="24"/>
      <c r="D438" s="24"/>
      <c r="E438" s="25"/>
      <c r="F438" s="24"/>
    </row>
    <row r="439">
      <c r="A439" s="24"/>
      <c r="B439" s="7"/>
      <c r="C439" s="24"/>
      <c r="D439" s="24"/>
      <c r="E439" s="25"/>
      <c r="F439" s="24"/>
    </row>
    <row r="440">
      <c r="A440" s="24"/>
      <c r="B440" s="7"/>
      <c r="C440" s="24"/>
      <c r="D440" s="24"/>
      <c r="E440" s="25"/>
      <c r="F440" s="24"/>
    </row>
    <row r="441">
      <c r="A441" s="24"/>
      <c r="B441" s="7"/>
      <c r="C441" s="24"/>
      <c r="D441" s="24"/>
      <c r="E441" s="25"/>
      <c r="F441" s="24"/>
    </row>
    <row r="442">
      <c r="A442" s="24"/>
      <c r="B442" s="7"/>
      <c r="C442" s="24"/>
      <c r="D442" s="24"/>
      <c r="E442" s="25"/>
      <c r="F442" s="24"/>
    </row>
    <row r="443">
      <c r="A443" s="24"/>
      <c r="B443" s="7"/>
      <c r="C443" s="24"/>
      <c r="D443" s="24"/>
      <c r="E443" s="25"/>
      <c r="F443" s="24"/>
    </row>
    <row r="444">
      <c r="A444" s="24"/>
      <c r="B444" s="7"/>
      <c r="C444" s="24"/>
      <c r="D444" s="24"/>
      <c r="E444" s="25"/>
      <c r="F444" s="24"/>
    </row>
    <row r="445">
      <c r="A445" s="24"/>
      <c r="B445" s="7"/>
      <c r="C445" s="24"/>
      <c r="D445" s="24"/>
      <c r="E445" s="25"/>
      <c r="F445" s="24"/>
    </row>
    <row r="446">
      <c r="A446" s="24"/>
      <c r="B446" s="7"/>
      <c r="C446" s="24"/>
      <c r="D446" s="24"/>
      <c r="E446" s="25"/>
      <c r="F446" s="24"/>
    </row>
    <row r="447">
      <c r="A447" s="24"/>
      <c r="B447" s="7"/>
      <c r="C447" s="24"/>
      <c r="D447" s="24"/>
      <c r="E447" s="25"/>
      <c r="F447" s="24"/>
    </row>
    <row r="448">
      <c r="A448" s="24"/>
      <c r="B448" s="7"/>
      <c r="C448" s="24"/>
      <c r="D448" s="24"/>
      <c r="E448" s="25"/>
      <c r="F448" s="24"/>
    </row>
    <row r="449">
      <c r="A449" s="24"/>
      <c r="B449" s="7"/>
      <c r="C449" s="24"/>
      <c r="D449" s="24"/>
      <c r="E449" s="25"/>
      <c r="F449" s="24"/>
    </row>
    <row r="450">
      <c r="A450" s="24"/>
      <c r="B450" s="7"/>
      <c r="C450" s="24"/>
      <c r="D450" s="24"/>
      <c r="E450" s="25"/>
      <c r="F450" s="24"/>
    </row>
    <row r="451">
      <c r="A451" s="24"/>
      <c r="B451" s="7"/>
      <c r="C451" s="24"/>
      <c r="D451" s="24"/>
      <c r="E451" s="25"/>
      <c r="F451" s="24"/>
    </row>
    <row r="452">
      <c r="A452" s="24"/>
      <c r="B452" s="7"/>
      <c r="C452" s="24"/>
      <c r="D452" s="24"/>
      <c r="E452" s="25"/>
      <c r="F452" s="24"/>
    </row>
    <row r="453">
      <c r="A453" s="24"/>
      <c r="B453" s="7"/>
      <c r="C453" s="24"/>
      <c r="D453" s="24"/>
      <c r="E453" s="25"/>
      <c r="F453" s="24"/>
    </row>
    <row r="454">
      <c r="A454" s="24"/>
      <c r="B454" s="7"/>
      <c r="C454" s="24"/>
      <c r="D454" s="24"/>
      <c r="E454" s="25"/>
      <c r="F454" s="24"/>
    </row>
    <row r="455">
      <c r="A455" s="24"/>
      <c r="B455" s="7"/>
      <c r="C455" s="24"/>
      <c r="D455" s="24"/>
      <c r="E455" s="25"/>
      <c r="F455" s="24"/>
    </row>
    <row r="456">
      <c r="A456" s="24"/>
      <c r="B456" s="7"/>
      <c r="C456" s="24"/>
      <c r="D456" s="24"/>
      <c r="E456" s="25"/>
      <c r="F456" s="24"/>
    </row>
    <row r="457">
      <c r="A457" s="24"/>
      <c r="B457" s="7"/>
      <c r="C457" s="24"/>
      <c r="D457" s="24"/>
      <c r="E457" s="25"/>
      <c r="F457" s="24"/>
    </row>
    <row r="458">
      <c r="A458" s="24"/>
      <c r="B458" s="7"/>
      <c r="C458" s="24"/>
      <c r="D458" s="24"/>
      <c r="E458" s="25"/>
      <c r="F458" s="24"/>
    </row>
    <row r="459">
      <c r="A459" s="24"/>
      <c r="B459" s="7"/>
      <c r="C459" s="24"/>
      <c r="D459" s="24"/>
      <c r="E459" s="25"/>
      <c r="F459" s="24"/>
    </row>
    <row r="460">
      <c r="A460" s="24"/>
      <c r="B460" s="7"/>
      <c r="C460" s="24"/>
      <c r="D460" s="24"/>
      <c r="E460" s="25"/>
      <c r="F460" s="24"/>
    </row>
    <row r="461">
      <c r="A461" s="24"/>
      <c r="B461" s="7"/>
      <c r="C461" s="24"/>
      <c r="D461" s="24"/>
      <c r="E461" s="25"/>
      <c r="F461" s="24"/>
    </row>
    <row r="462">
      <c r="A462" s="24"/>
      <c r="B462" s="7"/>
      <c r="C462" s="24"/>
      <c r="D462" s="24"/>
      <c r="E462" s="25"/>
      <c r="F462" s="24"/>
    </row>
    <row r="463">
      <c r="A463" s="24"/>
      <c r="B463" s="7"/>
      <c r="C463" s="24"/>
      <c r="D463" s="24"/>
      <c r="E463" s="25"/>
      <c r="F463" s="24"/>
    </row>
    <row r="464">
      <c r="A464" s="24"/>
      <c r="B464" s="7"/>
      <c r="C464" s="24"/>
      <c r="D464" s="24"/>
      <c r="E464" s="25"/>
      <c r="F464" s="24"/>
    </row>
    <row r="465">
      <c r="A465" s="24"/>
      <c r="B465" s="7"/>
      <c r="C465" s="24"/>
      <c r="D465" s="24"/>
      <c r="E465" s="25"/>
      <c r="F465" s="24"/>
    </row>
    <row r="466">
      <c r="A466" s="24"/>
      <c r="B466" s="7"/>
      <c r="C466" s="24"/>
      <c r="D466" s="24"/>
      <c r="E466" s="25"/>
      <c r="F466" s="24"/>
    </row>
    <row r="467">
      <c r="A467" s="24"/>
      <c r="B467" s="7"/>
      <c r="C467" s="24"/>
      <c r="D467" s="24"/>
      <c r="E467" s="25"/>
      <c r="F467" s="24"/>
    </row>
    <row r="468">
      <c r="A468" s="24"/>
      <c r="B468" s="7"/>
      <c r="C468" s="24"/>
      <c r="D468" s="24"/>
      <c r="E468" s="25"/>
      <c r="F468" s="24"/>
    </row>
    <row r="469">
      <c r="A469" s="24"/>
      <c r="B469" s="7"/>
      <c r="C469" s="24"/>
      <c r="D469" s="24"/>
      <c r="E469" s="25"/>
      <c r="F469" s="24"/>
    </row>
    <row r="470">
      <c r="A470" s="24"/>
      <c r="B470" s="7"/>
      <c r="C470" s="24"/>
      <c r="D470" s="24"/>
      <c r="E470" s="25"/>
      <c r="F470" s="24"/>
    </row>
    <row r="471">
      <c r="A471" s="24"/>
      <c r="B471" s="7"/>
      <c r="C471" s="24"/>
      <c r="D471" s="24"/>
      <c r="E471" s="25"/>
      <c r="F471" s="24"/>
    </row>
    <row r="472">
      <c r="A472" s="24"/>
      <c r="B472" s="7"/>
      <c r="C472" s="24"/>
      <c r="D472" s="24"/>
      <c r="E472" s="25"/>
      <c r="F472" s="24"/>
    </row>
    <row r="473">
      <c r="A473" s="24"/>
      <c r="B473" s="7"/>
      <c r="C473" s="24"/>
      <c r="D473" s="24"/>
      <c r="E473" s="25"/>
      <c r="F473" s="24"/>
    </row>
    <row r="474">
      <c r="A474" s="24"/>
      <c r="B474" s="7"/>
      <c r="C474" s="24"/>
      <c r="D474" s="24"/>
      <c r="E474" s="25"/>
      <c r="F474" s="24"/>
    </row>
    <row r="475">
      <c r="A475" s="24"/>
      <c r="B475" s="7"/>
      <c r="C475" s="24"/>
      <c r="D475" s="24"/>
      <c r="E475" s="25"/>
      <c r="F475" s="24"/>
    </row>
    <row r="476">
      <c r="A476" s="24"/>
      <c r="B476" s="7"/>
      <c r="C476" s="24"/>
      <c r="D476" s="24"/>
      <c r="E476" s="25"/>
      <c r="F476" s="24"/>
    </row>
    <row r="477">
      <c r="A477" s="24"/>
      <c r="B477" s="7"/>
      <c r="C477" s="24"/>
      <c r="D477" s="24"/>
      <c r="E477" s="25"/>
      <c r="F477" s="24"/>
    </row>
    <row r="478">
      <c r="A478" s="24"/>
      <c r="B478" s="7"/>
      <c r="C478" s="24"/>
      <c r="D478" s="24"/>
      <c r="E478" s="25"/>
      <c r="F478" s="24"/>
    </row>
    <row r="479">
      <c r="A479" s="24"/>
      <c r="B479" s="7"/>
      <c r="C479" s="24"/>
      <c r="D479" s="24"/>
      <c r="E479" s="25"/>
      <c r="F479" s="24"/>
    </row>
    <row r="480">
      <c r="A480" s="24"/>
      <c r="B480" s="7"/>
      <c r="C480" s="24"/>
      <c r="D480" s="24"/>
      <c r="E480" s="25"/>
      <c r="F480" s="24"/>
    </row>
    <row r="481">
      <c r="A481" s="24"/>
      <c r="B481" s="7"/>
      <c r="C481" s="24"/>
      <c r="D481" s="24"/>
      <c r="E481" s="25"/>
      <c r="F481" s="24"/>
    </row>
    <row r="482">
      <c r="A482" s="24"/>
      <c r="B482" s="7"/>
      <c r="C482" s="24"/>
      <c r="D482" s="24"/>
      <c r="E482" s="25"/>
      <c r="F482" s="24"/>
    </row>
    <row r="483">
      <c r="A483" s="24"/>
      <c r="B483" s="7"/>
      <c r="C483" s="24"/>
      <c r="D483" s="24"/>
      <c r="E483" s="25"/>
      <c r="F483" s="24"/>
    </row>
    <row r="484">
      <c r="A484" s="24"/>
      <c r="B484" s="7"/>
      <c r="C484" s="24"/>
      <c r="D484" s="24"/>
      <c r="E484" s="25"/>
      <c r="F484" s="24"/>
    </row>
    <row r="485">
      <c r="A485" s="24"/>
      <c r="B485" s="7"/>
      <c r="C485" s="24"/>
      <c r="D485" s="24"/>
      <c r="E485" s="25"/>
      <c r="F485" s="24"/>
    </row>
    <row r="486">
      <c r="A486" s="24"/>
      <c r="B486" s="7"/>
      <c r="C486" s="24"/>
      <c r="D486" s="24"/>
      <c r="E486" s="25"/>
      <c r="F486" s="24"/>
    </row>
    <row r="487">
      <c r="A487" s="24"/>
      <c r="B487" s="7"/>
      <c r="C487" s="24"/>
      <c r="D487" s="24"/>
      <c r="E487" s="25"/>
      <c r="F487" s="24"/>
    </row>
    <row r="488">
      <c r="A488" s="24"/>
      <c r="B488" s="7"/>
      <c r="C488" s="24"/>
      <c r="D488" s="24"/>
      <c r="E488" s="25"/>
      <c r="F488" s="24"/>
    </row>
    <row r="489">
      <c r="A489" s="24"/>
      <c r="B489" s="7"/>
      <c r="C489" s="24"/>
      <c r="D489" s="24"/>
      <c r="E489" s="25"/>
      <c r="F489" s="24"/>
    </row>
    <row r="490">
      <c r="A490" s="24"/>
      <c r="B490" s="7"/>
      <c r="C490" s="24"/>
      <c r="D490" s="24"/>
      <c r="E490" s="25"/>
      <c r="F490" s="24"/>
    </row>
    <row r="491">
      <c r="A491" s="24"/>
      <c r="B491" s="7"/>
      <c r="C491" s="24"/>
      <c r="D491" s="24"/>
      <c r="E491" s="25"/>
      <c r="F491" s="24"/>
    </row>
    <row r="492">
      <c r="A492" s="24"/>
      <c r="B492" s="7"/>
      <c r="C492" s="24"/>
      <c r="D492" s="24"/>
      <c r="E492" s="25"/>
      <c r="F492" s="24"/>
    </row>
    <row r="493">
      <c r="A493" s="24"/>
      <c r="B493" s="7"/>
      <c r="C493" s="24"/>
      <c r="D493" s="24"/>
      <c r="E493" s="25"/>
      <c r="F493" s="24"/>
    </row>
    <row r="494">
      <c r="A494" s="24"/>
      <c r="B494" s="7"/>
      <c r="C494" s="24"/>
      <c r="D494" s="24"/>
      <c r="E494" s="25"/>
      <c r="F494" s="24"/>
    </row>
    <row r="495">
      <c r="A495" s="24"/>
      <c r="B495" s="7"/>
      <c r="C495" s="24"/>
      <c r="D495" s="24"/>
      <c r="E495" s="25"/>
      <c r="F495" s="24"/>
    </row>
    <row r="496">
      <c r="A496" s="24"/>
      <c r="B496" s="7"/>
      <c r="C496" s="24"/>
      <c r="D496" s="24"/>
      <c r="E496" s="25"/>
      <c r="F496" s="24"/>
    </row>
    <row r="497">
      <c r="A497" s="24"/>
      <c r="B497" s="7"/>
      <c r="C497" s="24"/>
      <c r="D497" s="24"/>
      <c r="E497" s="25"/>
      <c r="F497" s="24"/>
    </row>
    <row r="498">
      <c r="A498" s="24"/>
      <c r="B498" s="7"/>
      <c r="C498" s="24"/>
      <c r="D498" s="24"/>
      <c r="E498" s="25"/>
      <c r="F498" s="24"/>
    </row>
    <row r="499">
      <c r="A499" s="24"/>
      <c r="B499" s="7"/>
      <c r="C499" s="24"/>
      <c r="D499" s="24"/>
      <c r="E499" s="25"/>
      <c r="F499" s="24"/>
    </row>
    <row r="500">
      <c r="A500" s="24"/>
      <c r="B500" s="7"/>
      <c r="C500" s="24"/>
      <c r="D500" s="24"/>
      <c r="E500" s="25"/>
      <c r="F500" s="24"/>
    </row>
    <row r="501">
      <c r="A501" s="24"/>
      <c r="B501" s="7"/>
      <c r="C501" s="24"/>
      <c r="D501" s="24"/>
      <c r="E501" s="25"/>
      <c r="F501" s="24"/>
    </row>
    <row r="502">
      <c r="A502" s="24"/>
      <c r="B502" s="7"/>
      <c r="C502" s="24"/>
      <c r="D502" s="24"/>
      <c r="E502" s="25"/>
      <c r="F502" s="24"/>
    </row>
    <row r="503">
      <c r="A503" s="24"/>
      <c r="B503" s="7"/>
      <c r="C503" s="24"/>
      <c r="D503" s="24"/>
      <c r="E503" s="25"/>
      <c r="F503" s="24"/>
    </row>
    <row r="504">
      <c r="A504" s="24"/>
      <c r="B504" s="7"/>
      <c r="C504" s="24"/>
      <c r="D504" s="24"/>
      <c r="E504" s="25"/>
      <c r="F504" s="24"/>
    </row>
    <row r="505">
      <c r="A505" s="24"/>
      <c r="B505" s="7"/>
      <c r="C505" s="24"/>
      <c r="D505" s="24"/>
      <c r="E505" s="25"/>
      <c r="F505" s="24"/>
    </row>
    <row r="506">
      <c r="A506" s="24"/>
      <c r="B506" s="7"/>
      <c r="C506" s="24"/>
      <c r="D506" s="24"/>
      <c r="E506" s="25"/>
      <c r="F506" s="24"/>
    </row>
    <row r="507">
      <c r="A507" s="24"/>
      <c r="B507" s="7"/>
      <c r="C507" s="24"/>
      <c r="D507" s="24"/>
      <c r="E507" s="25"/>
      <c r="F507" s="24"/>
    </row>
    <row r="508">
      <c r="A508" s="24"/>
      <c r="B508" s="7"/>
      <c r="C508" s="24"/>
      <c r="D508" s="24"/>
      <c r="E508" s="25"/>
      <c r="F508" s="24"/>
    </row>
    <row r="509">
      <c r="A509" s="24"/>
      <c r="B509" s="7"/>
      <c r="C509" s="24"/>
      <c r="D509" s="24"/>
      <c r="E509" s="25"/>
      <c r="F509" s="24"/>
    </row>
    <row r="510">
      <c r="A510" s="24"/>
      <c r="B510" s="7"/>
      <c r="C510" s="24"/>
      <c r="D510" s="24"/>
      <c r="E510" s="25"/>
      <c r="F510" s="24"/>
    </row>
    <row r="511">
      <c r="A511" s="24"/>
      <c r="B511" s="7"/>
      <c r="C511" s="24"/>
      <c r="D511" s="24"/>
      <c r="E511" s="25"/>
      <c r="F511" s="24"/>
    </row>
    <row r="512">
      <c r="A512" s="24"/>
      <c r="B512" s="7"/>
      <c r="C512" s="24"/>
      <c r="D512" s="24"/>
      <c r="E512" s="25"/>
      <c r="F512" s="24"/>
    </row>
    <row r="513">
      <c r="A513" s="24"/>
      <c r="B513" s="7"/>
      <c r="C513" s="24"/>
      <c r="D513" s="24"/>
      <c r="E513" s="25"/>
      <c r="F513" s="24"/>
    </row>
    <row r="514">
      <c r="A514" s="24"/>
      <c r="B514" s="7"/>
      <c r="C514" s="24"/>
      <c r="D514" s="24"/>
      <c r="E514" s="25"/>
      <c r="F514" s="24"/>
    </row>
    <row r="515">
      <c r="A515" s="24"/>
      <c r="B515" s="7"/>
      <c r="C515" s="24"/>
      <c r="D515" s="24"/>
      <c r="E515" s="25"/>
      <c r="F515" s="24"/>
    </row>
    <row r="516">
      <c r="A516" s="24"/>
      <c r="B516" s="7"/>
      <c r="C516" s="24"/>
      <c r="D516" s="24"/>
      <c r="E516" s="25"/>
      <c r="F516" s="24"/>
    </row>
    <row r="517">
      <c r="A517" s="24"/>
      <c r="B517" s="7"/>
      <c r="C517" s="24"/>
      <c r="D517" s="24"/>
      <c r="E517" s="25"/>
      <c r="F517" s="24"/>
    </row>
    <row r="518">
      <c r="A518" s="24"/>
      <c r="B518" s="7"/>
      <c r="C518" s="24"/>
      <c r="D518" s="24"/>
      <c r="E518" s="25"/>
      <c r="F518" s="24"/>
    </row>
    <row r="519">
      <c r="A519" s="24"/>
      <c r="B519" s="7"/>
      <c r="C519" s="24"/>
      <c r="D519" s="24"/>
      <c r="E519" s="25"/>
      <c r="F519" s="24"/>
    </row>
    <row r="520">
      <c r="A520" s="24"/>
      <c r="B520" s="7"/>
      <c r="C520" s="24"/>
      <c r="D520" s="24"/>
      <c r="E520" s="25"/>
      <c r="F520" s="24"/>
    </row>
    <row r="521">
      <c r="A521" s="24"/>
      <c r="B521" s="7"/>
      <c r="C521" s="24"/>
      <c r="D521" s="24"/>
      <c r="E521" s="25"/>
      <c r="F521" s="24"/>
    </row>
    <row r="522">
      <c r="A522" s="24"/>
      <c r="B522" s="7"/>
      <c r="C522" s="24"/>
      <c r="D522" s="24"/>
      <c r="E522" s="25"/>
      <c r="F522" s="24"/>
    </row>
    <row r="523">
      <c r="A523" s="24"/>
      <c r="B523" s="7"/>
      <c r="C523" s="24"/>
      <c r="D523" s="24"/>
      <c r="E523" s="25"/>
      <c r="F523" s="24"/>
    </row>
    <row r="524">
      <c r="A524" s="24"/>
      <c r="B524" s="7"/>
      <c r="C524" s="24"/>
      <c r="D524" s="24"/>
      <c r="E524" s="25"/>
      <c r="F524" s="24"/>
    </row>
    <row r="525">
      <c r="A525" s="24"/>
      <c r="B525" s="7"/>
      <c r="C525" s="24"/>
      <c r="D525" s="24"/>
      <c r="E525" s="25"/>
      <c r="F525" s="24"/>
    </row>
    <row r="526">
      <c r="A526" s="24"/>
      <c r="B526" s="7"/>
      <c r="C526" s="24"/>
      <c r="D526" s="24"/>
      <c r="E526" s="25"/>
      <c r="F526" s="24"/>
    </row>
    <row r="527">
      <c r="A527" s="24"/>
      <c r="B527" s="7"/>
      <c r="C527" s="24"/>
      <c r="D527" s="24"/>
      <c r="E527" s="25"/>
      <c r="F527" s="24"/>
    </row>
    <row r="528">
      <c r="A528" s="24"/>
      <c r="B528" s="7"/>
      <c r="C528" s="24"/>
      <c r="D528" s="24"/>
      <c r="E528" s="25"/>
      <c r="F528" s="24"/>
    </row>
    <row r="529">
      <c r="A529" s="24"/>
      <c r="B529" s="7"/>
      <c r="C529" s="24"/>
      <c r="D529" s="24"/>
      <c r="E529" s="25"/>
      <c r="F529" s="24"/>
    </row>
    <row r="530">
      <c r="A530" s="24"/>
      <c r="B530" s="7"/>
      <c r="C530" s="24"/>
      <c r="D530" s="24"/>
      <c r="E530" s="25"/>
      <c r="F530" s="24"/>
    </row>
    <row r="531">
      <c r="A531" s="24"/>
      <c r="B531" s="7"/>
      <c r="C531" s="24"/>
      <c r="D531" s="24"/>
      <c r="E531" s="25"/>
      <c r="F531" s="24"/>
    </row>
    <row r="532">
      <c r="A532" s="24"/>
      <c r="B532" s="7"/>
      <c r="C532" s="24"/>
      <c r="D532" s="24"/>
      <c r="E532" s="25"/>
      <c r="F532" s="24"/>
    </row>
    <row r="533">
      <c r="A533" s="24"/>
      <c r="B533" s="7"/>
      <c r="C533" s="24"/>
      <c r="D533" s="24"/>
      <c r="E533" s="25"/>
      <c r="F533" s="24"/>
    </row>
    <row r="534">
      <c r="A534" s="24"/>
      <c r="B534" s="7"/>
      <c r="C534" s="24"/>
      <c r="D534" s="24"/>
      <c r="E534" s="25"/>
      <c r="F534" s="24"/>
    </row>
    <row r="535">
      <c r="A535" s="24"/>
      <c r="B535" s="7"/>
      <c r="C535" s="24"/>
      <c r="D535" s="24"/>
      <c r="E535" s="25"/>
      <c r="F535" s="24"/>
    </row>
    <row r="536">
      <c r="A536" s="24"/>
      <c r="B536" s="7"/>
      <c r="C536" s="24"/>
      <c r="D536" s="24"/>
      <c r="E536" s="25"/>
      <c r="F536" s="24"/>
    </row>
    <row r="537">
      <c r="A537" s="24"/>
      <c r="B537" s="7"/>
      <c r="C537" s="24"/>
      <c r="D537" s="24"/>
      <c r="E537" s="25"/>
      <c r="F537" s="24"/>
    </row>
    <row r="538">
      <c r="A538" s="24"/>
      <c r="B538" s="7"/>
      <c r="C538" s="24"/>
      <c r="D538" s="24"/>
      <c r="E538" s="25"/>
      <c r="F538" s="24"/>
    </row>
    <row r="539">
      <c r="A539" s="24"/>
      <c r="B539" s="7"/>
      <c r="C539" s="24"/>
      <c r="D539" s="24"/>
      <c r="E539" s="25"/>
      <c r="F539" s="24"/>
    </row>
    <row r="540">
      <c r="A540" s="24"/>
      <c r="B540" s="7"/>
      <c r="C540" s="24"/>
      <c r="D540" s="24"/>
      <c r="E540" s="25"/>
      <c r="F540" s="24"/>
    </row>
    <row r="541">
      <c r="A541" s="24"/>
      <c r="B541" s="7"/>
      <c r="C541" s="24"/>
      <c r="D541" s="24"/>
      <c r="E541" s="25"/>
      <c r="F541" s="24"/>
    </row>
    <row r="542">
      <c r="A542" s="24"/>
      <c r="B542" s="7"/>
      <c r="C542" s="24"/>
      <c r="D542" s="24"/>
      <c r="E542" s="25"/>
      <c r="F542" s="24"/>
    </row>
    <row r="543">
      <c r="A543" s="24"/>
      <c r="B543" s="7"/>
      <c r="C543" s="24"/>
      <c r="D543" s="24"/>
      <c r="E543" s="25"/>
      <c r="F543" s="24"/>
    </row>
    <row r="544">
      <c r="A544" s="24"/>
      <c r="B544" s="7"/>
      <c r="C544" s="24"/>
      <c r="D544" s="24"/>
      <c r="E544" s="25"/>
      <c r="F544" s="24"/>
    </row>
    <row r="545">
      <c r="A545" s="24"/>
      <c r="B545" s="7"/>
      <c r="C545" s="24"/>
      <c r="D545" s="24"/>
      <c r="E545" s="25"/>
      <c r="F545" s="24"/>
    </row>
    <row r="546">
      <c r="A546" s="24"/>
      <c r="B546" s="7"/>
      <c r="C546" s="24"/>
      <c r="D546" s="24"/>
      <c r="E546" s="25"/>
      <c r="F546" s="24"/>
    </row>
    <row r="547">
      <c r="A547" s="24"/>
      <c r="B547" s="7"/>
      <c r="C547" s="24"/>
      <c r="D547" s="24"/>
      <c r="E547" s="25"/>
      <c r="F547" s="24"/>
    </row>
    <row r="548">
      <c r="A548" s="24"/>
      <c r="B548" s="7"/>
      <c r="C548" s="24"/>
      <c r="D548" s="24"/>
      <c r="E548" s="25"/>
      <c r="F548" s="24"/>
    </row>
    <row r="549">
      <c r="A549" s="24"/>
      <c r="B549" s="7"/>
      <c r="C549" s="24"/>
      <c r="D549" s="24"/>
      <c r="E549" s="25"/>
      <c r="F549" s="24"/>
    </row>
    <row r="550">
      <c r="A550" s="24"/>
      <c r="B550" s="7"/>
      <c r="C550" s="24"/>
      <c r="D550" s="24"/>
      <c r="E550" s="25"/>
      <c r="F550" s="24"/>
    </row>
    <row r="551">
      <c r="A551" s="24"/>
      <c r="B551" s="7"/>
      <c r="C551" s="24"/>
      <c r="D551" s="24"/>
      <c r="E551" s="25"/>
      <c r="F551" s="24"/>
    </row>
    <row r="552">
      <c r="A552" s="24"/>
      <c r="B552" s="7"/>
      <c r="C552" s="24"/>
      <c r="D552" s="24"/>
      <c r="E552" s="25"/>
      <c r="F552" s="24"/>
    </row>
    <row r="553">
      <c r="A553" s="24"/>
      <c r="B553" s="7"/>
      <c r="C553" s="24"/>
      <c r="D553" s="24"/>
      <c r="E553" s="25"/>
      <c r="F553" s="24"/>
    </row>
    <row r="554">
      <c r="A554" s="24"/>
      <c r="B554" s="7"/>
      <c r="C554" s="24"/>
      <c r="D554" s="24"/>
      <c r="E554" s="25"/>
      <c r="F554" s="24"/>
    </row>
    <row r="555">
      <c r="A555" s="24"/>
      <c r="B555" s="7"/>
      <c r="C555" s="24"/>
      <c r="D555" s="24"/>
      <c r="E555" s="25"/>
      <c r="F555" s="24"/>
    </row>
    <row r="556">
      <c r="A556" s="24"/>
      <c r="B556" s="7"/>
      <c r="C556" s="24"/>
      <c r="D556" s="24"/>
      <c r="E556" s="25"/>
      <c r="F556" s="24"/>
    </row>
    <row r="557">
      <c r="A557" s="24"/>
      <c r="B557" s="7"/>
      <c r="C557" s="24"/>
      <c r="D557" s="24"/>
      <c r="E557" s="25"/>
      <c r="F557" s="24"/>
    </row>
    <row r="558">
      <c r="A558" s="24"/>
      <c r="B558" s="7"/>
      <c r="C558" s="24"/>
      <c r="D558" s="24"/>
      <c r="E558" s="25"/>
      <c r="F558" s="24"/>
    </row>
    <row r="559">
      <c r="A559" s="24"/>
      <c r="B559" s="7"/>
      <c r="C559" s="24"/>
      <c r="D559" s="24"/>
      <c r="E559" s="25"/>
      <c r="F559" s="24"/>
    </row>
    <row r="560">
      <c r="A560" s="24"/>
      <c r="B560" s="7"/>
      <c r="C560" s="24"/>
      <c r="D560" s="24"/>
      <c r="E560" s="25"/>
      <c r="F560" s="24"/>
    </row>
    <row r="561">
      <c r="A561" s="24"/>
      <c r="B561" s="7"/>
      <c r="C561" s="24"/>
      <c r="D561" s="24"/>
      <c r="E561" s="25"/>
      <c r="F561" s="24"/>
    </row>
    <row r="562">
      <c r="A562" s="24"/>
      <c r="B562" s="7"/>
      <c r="C562" s="24"/>
      <c r="D562" s="24"/>
      <c r="E562" s="25"/>
      <c r="F562" s="24"/>
    </row>
    <row r="563">
      <c r="A563" s="24"/>
      <c r="B563" s="7"/>
      <c r="C563" s="24"/>
      <c r="D563" s="24"/>
      <c r="E563" s="25"/>
      <c r="F563" s="24"/>
    </row>
    <row r="564">
      <c r="A564" s="24"/>
      <c r="B564" s="7"/>
      <c r="C564" s="24"/>
      <c r="D564" s="24"/>
      <c r="E564" s="25"/>
      <c r="F564" s="24"/>
    </row>
    <row r="565">
      <c r="A565" s="24"/>
      <c r="B565" s="7"/>
      <c r="C565" s="24"/>
      <c r="D565" s="24"/>
      <c r="E565" s="25"/>
      <c r="F565" s="24"/>
    </row>
    <row r="566">
      <c r="A566" s="24"/>
      <c r="B566" s="7"/>
      <c r="C566" s="24"/>
      <c r="D566" s="24"/>
      <c r="E566" s="25"/>
      <c r="F566" s="24"/>
    </row>
    <row r="567">
      <c r="A567" s="24"/>
      <c r="B567" s="7"/>
      <c r="C567" s="24"/>
      <c r="D567" s="24"/>
      <c r="E567" s="25"/>
      <c r="F567" s="24"/>
    </row>
    <row r="568">
      <c r="A568" s="24"/>
      <c r="B568" s="7"/>
      <c r="C568" s="24"/>
      <c r="D568" s="24"/>
      <c r="E568" s="25"/>
      <c r="F568" s="24"/>
    </row>
    <row r="569">
      <c r="A569" s="24"/>
      <c r="B569" s="7"/>
      <c r="C569" s="24"/>
      <c r="D569" s="24"/>
      <c r="E569" s="25"/>
      <c r="F569" s="24"/>
    </row>
    <row r="570">
      <c r="A570" s="24"/>
      <c r="B570" s="7"/>
      <c r="C570" s="24"/>
      <c r="D570" s="24"/>
      <c r="E570" s="25"/>
      <c r="F570" s="24"/>
    </row>
    <row r="571">
      <c r="A571" s="24"/>
      <c r="B571" s="7"/>
      <c r="C571" s="24"/>
      <c r="D571" s="24"/>
      <c r="E571" s="25"/>
      <c r="F571" s="24"/>
    </row>
    <row r="572">
      <c r="A572" s="24"/>
      <c r="B572" s="7"/>
      <c r="C572" s="24"/>
      <c r="D572" s="24"/>
      <c r="E572" s="25"/>
      <c r="F572" s="24"/>
    </row>
    <row r="573">
      <c r="A573" s="24"/>
      <c r="B573" s="7"/>
      <c r="C573" s="24"/>
      <c r="D573" s="24"/>
      <c r="E573" s="25"/>
      <c r="F573" s="24"/>
    </row>
    <row r="574">
      <c r="A574" s="24"/>
      <c r="B574" s="7"/>
      <c r="C574" s="24"/>
      <c r="D574" s="24"/>
      <c r="E574" s="25"/>
      <c r="F574" s="24"/>
    </row>
    <row r="575">
      <c r="A575" s="24"/>
      <c r="B575" s="7"/>
      <c r="C575" s="24"/>
      <c r="D575" s="24"/>
      <c r="E575" s="25"/>
      <c r="F575" s="24"/>
    </row>
    <row r="576">
      <c r="A576" s="24"/>
      <c r="B576" s="7"/>
      <c r="C576" s="24"/>
      <c r="D576" s="24"/>
      <c r="E576" s="25"/>
      <c r="F576" s="24"/>
    </row>
    <row r="577">
      <c r="A577" s="24"/>
      <c r="B577" s="7"/>
      <c r="C577" s="24"/>
      <c r="D577" s="24"/>
      <c r="E577" s="25"/>
      <c r="F577" s="24"/>
    </row>
    <row r="578">
      <c r="A578" s="24"/>
      <c r="B578" s="7"/>
      <c r="C578" s="24"/>
      <c r="D578" s="24"/>
      <c r="E578" s="25"/>
      <c r="F578" s="24"/>
    </row>
    <row r="579">
      <c r="A579" s="24"/>
      <c r="B579" s="7"/>
      <c r="C579" s="24"/>
      <c r="D579" s="24"/>
      <c r="E579" s="25"/>
      <c r="F579" s="24"/>
    </row>
    <row r="580">
      <c r="A580" s="24"/>
      <c r="B580" s="7"/>
      <c r="C580" s="24"/>
      <c r="D580" s="24"/>
      <c r="E580" s="25"/>
      <c r="F580" s="24"/>
    </row>
    <row r="581">
      <c r="A581" s="24"/>
      <c r="B581" s="7"/>
      <c r="C581" s="24"/>
      <c r="D581" s="24"/>
      <c r="E581" s="25"/>
      <c r="F581" s="24"/>
    </row>
    <row r="582">
      <c r="A582" s="24"/>
      <c r="B582" s="7"/>
      <c r="C582" s="24"/>
      <c r="D582" s="24"/>
      <c r="E582" s="25"/>
      <c r="F582" s="24"/>
    </row>
    <row r="583">
      <c r="A583" s="24"/>
      <c r="B583" s="7"/>
      <c r="C583" s="24"/>
      <c r="D583" s="24"/>
      <c r="E583" s="25"/>
      <c r="F583" s="24"/>
    </row>
    <row r="584">
      <c r="A584" s="24"/>
      <c r="B584" s="7"/>
      <c r="C584" s="24"/>
      <c r="D584" s="24"/>
      <c r="E584" s="25"/>
      <c r="F584" s="24"/>
    </row>
    <row r="585">
      <c r="A585" s="24"/>
      <c r="B585" s="7"/>
      <c r="C585" s="24"/>
      <c r="D585" s="24"/>
      <c r="E585" s="25"/>
      <c r="F585" s="24"/>
    </row>
    <row r="586">
      <c r="A586" s="24"/>
      <c r="B586" s="7"/>
      <c r="C586" s="24"/>
      <c r="D586" s="24"/>
      <c r="E586" s="25"/>
      <c r="F586" s="24"/>
    </row>
    <row r="587">
      <c r="A587" s="24"/>
      <c r="B587" s="7"/>
      <c r="C587" s="24"/>
      <c r="D587" s="24"/>
      <c r="E587" s="25"/>
      <c r="F587" s="24"/>
    </row>
    <row r="588">
      <c r="A588" s="24"/>
      <c r="B588" s="7"/>
      <c r="C588" s="24"/>
      <c r="D588" s="24"/>
      <c r="E588" s="25"/>
      <c r="F588" s="24"/>
    </row>
    <row r="589">
      <c r="A589" s="24"/>
      <c r="B589" s="7"/>
      <c r="C589" s="24"/>
      <c r="D589" s="24"/>
      <c r="E589" s="25"/>
      <c r="F589" s="24"/>
    </row>
    <row r="590">
      <c r="A590" s="24"/>
      <c r="B590" s="7"/>
      <c r="C590" s="24"/>
      <c r="D590" s="24"/>
      <c r="E590" s="25"/>
      <c r="F590" s="24"/>
    </row>
    <row r="591">
      <c r="A591" s="24"/>
      <c r="B591" s="7"/>
      <c r="C591" s="24"/>
      <c r="D591" s="24"/>
      <c r="E591" s="25"/>
      <c r="F591" s="24"/>
    </row>
    <row r="592">
      <c r="A592" s="24"/>
      <c r="B592" s="7"/>
      <c r="C592" s="24"/>
      <c r="D592" s="24"/>
      <c r="E592" s="25"/>
      <c r="F592" s="24"/>
    </row>
    <row r="593">
      <c r="A593" s="24"/>
      <c r="B593" s="7"/>
      <c r="C593" s="24"/>
      <c r="D593" s="24"/>
      <c r="E593" s="25"/>
      <c r="F593" s="24"/>
    </row>
    <row r="594">
      <c r="A594" s="24"/>
      <c r="B594" s="7"/>
      <c r="C594" s="24"/>
      <c r="D594" s="24"/>
      <c r="E594" s="25"/>
      <c r="F594" s="24"/>
    </row>
    <row r="595">
      <c r="A595" s="24"/>
      <c r="B595" s="7"/>
      <c r="C595" s="24"/>
      <c r="D595" s="24"/>
      <c r="E595" s="25"/>
      <c r="F595" s="24"/>
    </row>
    <row r="596">
      <c r="A596" s="24"/>
      <c r="B596" s="7"/>
      <c r="C596" s="24"/>
      <c r="D596" s="24"/>
      <c r="E596" s="25"/>
      <c r="F596" s="24"/>
    </row>
    <row r="597">
      <c r="A597" s="24"/>
      <c r="B597" s="7"/>
      <c r="C597" s="24"/>
      <c r="D597" s="24"/>
      <c r="E597" s="25"/>
      <c r="F597" s="24"/>
    </row>
    <row r="598">
      <c r="A598" s="24"/>
      <c r="B598" s="7"/>
      <c r="C598" s="24"/>
      <c r="D598" s="24"/>
      <c r="E598" s="25"/>
      <c r="F598" s="24"/>
    </row>
    <row r="599">
      <c r="A599" s="24"/>
      <c r="B599" s="7"/>
      <c r="C599" s="24"/>
      <c r="D599" s="24"/>
      <c r="E599" s="25"/>
      <c r="F599" s="24"/>
    </row>
    <row r="600">
      <c r="A600" s="24"/>
      <c r="B600" s="7"/>
      <c r="C600" s="24"/>
      <c r="D600" s="24"/>
      <c r="E600" s="25"/>
      <c r="F600" s="24"/>
    </row>
    <row r="601">
      <c r="A601" s="24"/>
      <c r="B601" s="7"/>
      <c r="C601" s="24"/>
      <c r="D601" s="24"/>
      <c r="E601" s="25"/>
      <c r="F601" s="24"/>
    </row>
    <row r="602">
      <c r="A602" s="24"/>
      <c r="B602" s="7"/>
      <c r="C602" s="24"/>
      <c r="D602" s="24"/>
      <c r="E602" s="25"/>
      <c r="F602" s="24"/>
    </row>
    <row r="603">
      <c r="A603" s="24"/>
      <c r="B603" s="7"/>
      <c r="C603" s="24"/>
      <c r="D603" s="24"/>
      <c r="E603" s="25"/>
      <c r="F603" s="24"/>
    </row>
    <row r="604">
      <c r="A604" s="24"/>
      <c r="B604" s="7"/>
      <c r="C604" s="24"/>
      <c r="D604" s="24"/>
      <c r="E604" s="25"/>
      <c r="F604" s="24"/>
    </row>
    <row r="605">
      <c r="A605" s="24"/>
      <c r="B605" s="7"/>
      <c r="C605" s="24"/>
      <c r="D605" s="24"/>
      <c r="E605" s="25"/>
      <c r="F605" s="24"/>
    </row>
    <row r="606">
      <c r="A606" s="24"/>
      <c r="B606" s="7"/>
      <c r="C606" s="24"/>
      <c r="D606" s="24"/>
      <c r="E606" s="25"/>
      <c r="F606" s="24"/>
    </row>
    <row r="607">
      <c r="A607" s="24"/>
      <c r="B607" s="7"/>
      <c r="C607" s="24"/>
      <c r="D607" s="24"/>
      <c r="E607" s="25"/>
      <c r="F607" s="24"/>
    </row>
    <row r="608">
      <c r="A608" s="24"/>
      <c r="B608" s="7"/>
      <c r="C608" s="24"/>
      <c r="D608" s="24"/>
      <c r="E608" s="25"/>
      <c r="F608" s="24"/>
    </row>
    <row r="609">
      <c r="A609" s="24"/>
      <c r="B609" s="7"/>
      <c r="C609" s="24"/>
      <c r="D609" s="24"/>
      <c r="E609" s="25"/>
      <c r="F609" s="24"/>
    </row>
    <row r="610">
      <c r="A610" s="24"/>
      <c r="B610" s="7"/>
      <c r="C610" s="24"/>
      <c r="D610" s="24"/>
      <c r="E610" s="25"/>
      <c r="F610" s="24"/>
    </row>
    <row r="611">
      <c r="A611" s="24"/>
      <c r="B611" s="7"/>
      <c r="C611" s="24"/>
      <c r="D611" s="24"/>
      <c r="E611" s="25"/>
      <c r="F611" s="24"/>
    </row>
    <row r="612">
      <c r="A612" s="24"/>
      <c r="B612" s="7"/>
      <c r="C612" s="24"/>
      <c r="D612" s="24"/>
      <c r="E612" s="25"/>
      <c r="F612" s="24"/>
    </row>
    <row r="613">
      <c r="A613" s="24"/>
      <c r="B613" s="7"/>
      <c r="C613" s="24"/>
      <c r="D613" s="24"/>
      <c r="E613" s="25"/>
      <c r="F613" s="24"/>
    </row>
    <row r="614">
      <c r="A614" s="24"/>
      <c r="B614" s="7"/>
      <c r="C614" s="24"/>
      <c r="D614" s="24"/>
      <c r="E614" s="25"/>
      <c r="F614" s="24"/>
    </row>
    <row r="615">
      <c r="A615" s="24"/>
      <c r="B615" s="7"/>
      <c r="C615" s="24"/>
      <c r="D615" s="24"/>
      <c r="E615" s="25"/>
      <c r="F615" s="24"/>
    </row>
    <row r="616">
      <c r="A616" s="24"/>
      <c r="B616" s="7"/>
      <c r="C616" s="24"/>
      <c r="D616" s="24"/>
      <c r="E616" s="25"/>
      <c r="F616" s="24"/>
    </row>
    <row r="617">
      <c r="A617" s="24"/>
      <c r="B617" s="7"/>
      <c r="C617" s="24"/>
      <c r="D617" s="24"/>
      <c r="E617" s="25"/>
      <c r="F617" s="24"/>
    </row>
    <row r="618">
      <c r="A618" s="24"/>
      <c r="B618" s="7"/>
      <c r="C618" s="24"/>
      <c r="D618" s="24"/>
      <c r="E618" s="25"/>
      <c r="F618" s="24"/>
    </row>
    <row r="619">
      <c r="A619" s="24"/>
      <c r="B619" s="7"/>
      <c r="C619" s="24"/>
      <c r="D619" s="24"/>
      <c r="E619" s="25"/>
      <c r="F619" s="24"/>
    </row>
    <row r="620">
      <c r="A620" s="24"/>
      <c r="B620" s="7"/>
      <c r="C620" s="24"/>
      <c r="D620" s="24"/>
      <c r="E620" s="25"/>
      <c r="F620" s="24"/>
    </row>
    <row r="621">
      <c r="A621" s="24"/>
      <c r="B621" s="7"/>
      <c r="C621" s="24"/>
      <c r="D621" s="24"/>
      <c r="E621" s="25"/>
      <c r="F621" s="24"/>
    </row>
    <row r="622">
      <c r="A622" s="24"/>
      <c r="B622" s="7"/>
      <c r="C622" s="24"/>
      <c r="D622" s="24"/>
      <c r="E622" s="25"/>
      <c r="F622" s="24"/>
    </row>
    <row r="623">
      <c r="A623" s="24"/>
      <c r="B623" s="7"/>
      <c r="C623" s="24"/>
      <c r="D623" s="24"/>
      <c r="E623" s="25"/>
      <c r="F623" s="24"/>
    </row>
    <row r="624">
      <c r="A624" s="24"/>
      <c r="B624" s="7"/>
      <c r="C624" s="24"/>
      <c r="D624" s="24"/>
      <c r="E624" s="25"/>
      <c r="F624" s="24"/>
    </row>
    <row r="625">
      <c r="A625" s="24"/>
      <c r="B625" s="7"/>
      <c r="C625" s="24"/>
      <c r="D625" s="24"/>
      <c r="E625" s="25"/>
      <c r="F625" s="24"/>
    </row>
    <row r="626">
      <c r="A626" s="24"/>
      <c r="B626" s="7"/>
      <c r="C626" s="24"/>
      <c r="D626" s="24"/>
      <c r="E626" s="25"/>
      <c r="F626" s="24"/>
    </row>
    <row r="627">
      <c r="A627" s="24"/>
      <c r="B627" s="7"/>
      <c r="C627" s="24"/>
      <c r="D627" s="24"/>
      <c r="E627" s="25"/>
      <c r="F627" s="24"/>
    </row>
    <row r="628">
      <c r="A628" s="24"/>
      <c r="B628" s="7"/>
      <c r="C628" s="24"/>
      <c r="D628" s="24"/>
      <c r="E628" s="25"/>
      <c r="F628" s="24"/>
    </row>
    <row r="629">
      <c r="A629" s="24"/>
      <c r="B629" s="7"/>
      <c r="C629" s="24"/>
      <c r="D629" s="24"/>
      <c r="E629" s="25"/>
      <c r="F629" s="24"/>
    </row>
    <row r="630">
      <c r="A630" s="24"/>
      <c r="B630" s="7"/>
      <c r="C630" s="24"/>
      <c r="D630" s="24"/>
      <c r="E630" s="25"/>
      <c r="F630" s="24"/>
    </row>
    <row r="631">
      <c r="A631" s="24"/>
      <c r="B631" s="7"/>
      <c r="C631" s="24"/>
      <c r="D631" s="24"/>
      <c r="E631" s="25"/>
      <c r="F631" s="24"/>
    </row>
    <row r="632">
      <c r="A632" s="24"/>
      <c r="B632" s="7"/>
      <c r="C632" s="24"/>
      <c r="D632" s="24"/>
      <c r="E632" s="25"/>
      <c r="F632" s="24"/>
    </row>
    <row r="633">
      <c r="A633" s="24"/>
      <c r="B633" s="7"/>
      <c r="C633" s="24"/>
      <c r="D633" s="24"/>
      <c r="E633" s="25"/>
      <c r="F633" s="24"/>
    </row>
    <row r="634">
      <c r="A634" s="24"/>
      <c r="B634" s="7"/>
      <c r="C634" s="24"/>
      <c r="D634" s="24"/>
      <c r="E634" s="25"/>
      <c r="F634" s="24"/>
    </row>
    <row r="635">
      <c r="A635" s="24"/>
      <c r="B635" s="7"/>
      <c r="C635" s="24"/>
      <c r="D635" s="24"/>
      <c r="E635" s="25"/>
      <c r="F635" s="24"/>
    </row>
    <row r="636">
      <c r="A636" s="24"/>
      <c r="B636" s="7"/>
      <c r="C636" s="24"/>
      <c r="D636" s="24"/>
      <c r="E636" s="25"/>
      <c r="F636" s="24"/>
    </row>
    <row r="637">
      <c r="A637" s="24"/>
      <c r="B637" s="7"/>
      <c r="C637" s="24"/>
      <c r="D637" s="24"/>
      <c r="E637" s="25"/>
      <c r="F637" s="24"/>
    </row>
    <row r="638">
      <c r="A638" s="24"/>
      <c r="B638" s="7"/>
      <c r="C638" s="24"/>
      <c r="D638" s="24"/>
      <c r="E638" s="25"/>
      <c r="F638" s="24"/>
    </row>
    <row r="639">
      <c r="A639" s="24"/>
      <c r="B639" s="7"/>
      <c r="C639" s="24"/>
      <c r="D639" s="24"/>
      <c r="E639" s="25"/>
      <c r="F639" s="24"/>
    </row>
    <row r="640">
      <c r="A640" s="24"/>
      <c r="B640" s="7"/>
      <c r="C640" s="24"/>
      <c r="D640" s="24"/>
      <c r="E640" s="25"/>
      <c r="F640" s="24"/>
    </row>
    <row r="641">
      <c r="A641" s="24"/>
      <c r="B641" s="7"/>
      <c r="C641" s="24"/>
      <c r="D641" s="24"/>
      <c r="E641" s="25"/>
      <c r="F641" s="24"/>
    </row>
    <row r="642">
      <c r="A642" s="24"/>
      <c r="B642" s="7"/>
      <c r="C642" s="24"/>
      <c r="D642" s="24"/>
      <c r="E642" s="25"/>
      <c r="F642" s="24"/>
    </row>
    <row r="643">
      <c r="A643" s="24"/>
      <c r="B643" s="7"/>
      <c r="C643" s="24"/>
      <c r="D643" s="24"/>
      <c r="E643" s="25"/>
      <c r="F643" s="24"/>
    </row>
    <row r="644">
      <c r="A644" s="24"/>
      <c r="B644" s="7"/>
      <c r="C644" s="24"/>
      <c r="D644" s="24"/>
      <c r="E644" s="25"/>
      <c r="F644" s="24"/>
    </row>
    <row r="645">
      <c r="A645" s="24"/>
      <c r="B645" s="7"/>
      <c r="C645" s="24"/>
      <c r="D645" s="24"/>
      <c r="E645" s="25"/>
      <c r="F645" s="24"/>
    </row>
    <row r="646">
      <c r="A646" s="24"/>
      <c r="B646" s="7"/>
      <c r="C646" s="24"/>
      <c r="D646" s="24"/>
      <c r="E646" s="25"/>
      <c r="F646" s="24"/>
    </row>
    <row r="647">
      <c r="A647" s="24"/>
      <c r="B647" s="7"/>
      <c r="C647" s="24"/>
      <c r="D647" s="24"/>
      <c r="E647" s="25"/>
      <c r="F647" s="24"/>
    </row>
    <row r="648">
      <c r="A648" s="24"/>
      <c r="B648" s="7"/>
      <c r="C648" s="24"/>
      <c r="D648" s="24"/>
      <c r="E648" s="25"/>
      <c r="F648" s="24"/>
    </row>
    <row r="649">
      <c r="A649" s="24"/>
      <c r="B649" s="7"/>
      <c r="C649" s="24"/>
      <c r="D649" s="24"/>
      <c r="E649" s="25"/>
      <c r="F649" s="24"/>
    </row>
    <row r="650">
      <c r="A650" s="24"/>
      <c r="B650" s="7"/>
      <c r="C650" s="24"/>
      <c r="D650" s="24"/>
      <c r="E650" s="25"/>
      <c r="F650" s="24"/>
    </row>
    <row r="651">
      <c r="A651" s="24"/>
      <c r="B651" s="7"/>
      <c r="C651" s="24"/>
      <c r="D651" s="24"/>
      <c r="E651" s="25"/>
      <c r="F651" s="24"/>
    </row>
    <row r="652">
      <c r="A652" s="24"/>
      <c r="B652" s="7"/>
      <c r="C652" s="24"/>
      <c r="D652" s="24"/>
      <c r="E652" s="25"/>
      <c r="F652" s="24"/>
    </row>
    <row r="653">
      <c r="A653" s="24"/>
      <c r="B653" s="7"/>
      <c r="C653" s="24"/>
      <c r="D653" s="24"/>
      <c r="E653" s="25"/>
      <c r="F653" s="24"/>
    </row>
    <row r="654">
      <c r="A654" s="24"/>
      <c r="B654" s="7"/>
      <c r="C654" s="24"/>
      <c r="D654" s="24"/>
      <c r="E654" s="25"/>
      <c r="F654" s="24"/>
    </row>
    <row r="655">
      <c r="A655" s="24"/>
      <c r="B655" s="7"/>
      <c r="C655" s="24"/>
      <c r="D655" s="24"/>
      <c r="E655" s="25"/>
      <c r="F655" s="24"/>
    </row>
    <row r="656">
      <c r="A656" s="24"/>
      <c r="B656" s="7"/>
      <c r="C656" s="24"/>
      <c r="D656" s="24"/>
      <c r="E656" s="25"/>
      <c r="F656" s="24"/>
    </row>
    <row r="657">
      <c r="A657" s="24"/>
      <c r="B657" s="7"/>
      <c r="C657" s="24"/>
      <c r="D657" s="24"/>
      <c r="E657" s="25"/>
      <c r="F657" s="24"/>
    </row>
    <row r="658">
      <c r="A658" s="24"/>
      <c r="B658" s="7"/>
      <c r="C658" s="24"/>
      <c r="D658" s="24"/>
      <c r="E658" s="25"/>
      <c r="F658" s="24"/>
    </row>
    <row r="659">
      <c r="A659" s="24"/>
      <c r="B659" s="7"/>
      <c r="C659" s="24"/>
      <c r="D659" s="24"/>
      <c r="E659" s="25"/>
      <c r="F659" s="24"/>
    </row>
    <row r="660">
      <c r="A660" s="24"/>
      <c r="B660" s="7"/>
      <c r="C660" s="24"/>
      <c r="D660" s="24"/>
      <c r="E660" s="25"/>
      <c r="F660" s="24"/>
    </row>
    <row r="661">
      <c r="A661" s="24"/>
      <c r="B661" s="7"/>
      <c r="C661" s="24"/>
      <c r="D661" s="24"/>
      <c r="E661" s="25"/>
      <c r="F661" s="24"/>
    </row>
    <row r="662">
      <c r="A662" s="24"/>
      <c r="B662" s="7"/>
      <c r="C662" s="24"/>
      <c r="D662" s="24"/>
      <c r="E662" s="25"/>
      <c r="F662" s="24"/>
    </row>
    <row r="663">
      <c r="A663" s="24"/>
      <c r="B663" s="7"/>
      <c r="C663" s="24"/>
      <c r="D663" s="24"/>
      <c r="E663" s="25"/>
      <c r="F663" s="24"/>
    </row>
    <row r="664">
      <c r="A664" s="24"/>
      <c r="B664" s="7"/>
      <c r="C664" s="24"/>
      <c r="D664" s="24"/>
      <c r="E664" s="25"/>
      <c r="F664" s="24"/>
    </row>
    <row r="665">
      <c r="A665" s="24"/>
      <c r="B665" s="7"/>
      <c r="C665" s="24"/>
      <c r="D665" s="24"/>
      <c r="E665" s="25"/>
      <c r="F665" s="24"/>
    </row>
    <row r="666">
      <c r="A666" s="24"/>
      <c r="B666" s="7"/>
      <c r="C666" s="24"/>
      <c r="D666" s="24"/>
      <c r="E666" s="25"/>
      <c r="F666" s="24"/>
    </row>
    <row r="667">
      <c r="A667" s="24"/>
      <c r="B667" s="7"/>
      <c r="C667" s="24"/>
      <c r="D667" s="24"/>
      <c r="E667" s="25"/>
      <c r="F667" s="24"/>
    </row>
    <row r="668">
      <c r="A668" s="24"/>
      <c r="B668" s="7"/>
      <c r="C668" s="24"/>
      <c r="D668" s="24"/>
      <c r="E668" s="25"/>
      <c r="F668" s="24"/>
    </row>
    <row r="669">
      <c r="A669" s="24"/>
      <c r="B669" s="7"/>
      <c r="C669" s="24"/>
      <c r="D669" s="24"/>
      <c r="E669" s="25"/>
      <c r="F669" s="24"/>
    </row>
    <row r="670">
      <c r="A670" s="24"/>
      <c r="B670" s="7"/>
      <c r="C670" s="24"/>
      <c r="D670" s="24"/>
      <c r="E670" s="25"/>
      <c r="F670" s="24"/>
    </row>
    <row r="671">
      <c r="A671" s="24"/>
      <c r="B671" s="7"/>
      <c r="C671" s="24"/>
      <c r="D671" s="24"/>
      <c r="E671" s="25"/>
      <c r="F671" s="24"/>
    </row>
    <row r="672">
      <c r="A672" s="24"/>
      <c r="B672" s="7"/>
      <c r="C672" s="24"/>
      <c r="D672" s="24"/>
      <c r="E672" s="25"/>
      <c r="F672" s="24"/>
    </row>
    <row r="673">
      <c r="A673" s="24"/>
      <c r="B673" s="7"/>
      <c r="C673" s="24"/>
      <c r="D673" s="24"/>
      <c r="E673" s="25"/>
      <c r="F673" s="24"/>
    </row>
    <row r="674">
      <c r="A674" s="24"/>
      <c r="B674" s="7"/>
      <c r="C674" s="24"/>
      <c r="D674" s="24"/>
      <c r="E674" s="25"/>
      <c r="F674" s="24"/>
    </row>
    <row r="675">
      <c r="A675" s="24"/>
      <c r="B675" s="7"/>
      <c r="C675" s="24"/>
      <c r="D675" s="24"/>
      <c r="E675" s="25"/>
      <c r="F675" s="24"/>
    </row>
    <row r="676">
      <c r="A676" s="24"/>
      <c r="B676" s="7"/>
      <c r="C676" s="24"/>
      <c r="D676" s="24"/>
      <c r="E676" s="25"/>
      <c r="F676" s="24"/>
    </row>
    <row r="677">
      <c r="A677" s="24"/>
      <c r="B677" s="7"/>
      <c r="C677" s="24"/>
      <c r="D677" s="24"/>
      <c r="E677" s="25"/>
      <c r="F677" s="24"/>
    </row>
    <row r="678">
      <c r="A678" s="24"/>
      <c r="B678" s="7"/>
      <c r="C678" s="24"/>
      <c r="D678" s="24"/>
      <c r="E678" s="25"/>
      <c r="F678" s="24"/>
    </row>
    <row r="679">
      <c r="A679" s="24"/>
      <c r="B679" s="7"/>
      <c r="C679" s="24"/>
      <c r="D679" s="24"/>
      <c r="E679" s="25"/>
      <c r="F679" s="24"/>
    </row>
    <row r="680">
      <c r="A680" s="24"/>
      <c r="B680" s="7"/>
      <c r="C680" s="24"/>
      <c r="D680" s="24"/>
      <c r="E680" s="25"/>
      <c r="F680" s="24"/>
    </row>
    <row r="681">
      <c r="A681" s="24"/>
      <c r="B681" s="7"/>
      <c r="C681" s="24"/>
      <c r="D681" s="24"/>
      <c r="E681" s="25"/>
      <c r="F681" s="24"/>
    </row>
    <row r="682">
      <c r="A682" s="24"/>
      <c r="B682" s="7"/>
      <c r="C682" s="24"/>
      <c r="D682" s="24"/>
      <c r="E682" s="25"/>
      <c r="F682" s="24"/>
    </row>
    <row r="683">
      <c r="A683" s="24"/>
      <c r="B683" s="7"/>
      <c r="C683" s="24"/>
      <c r="D683" s="24"/>
      <c r="E683" s="25"/>
      <c r="F683" s="24"/>
    </row>
    <row r="684">
      <c r="A684" s="24"/>
      <c r="B684" s="7"/>
      <c r="C684" s="24"/>
      <c r="D684" s="24"/>
      <c r="E684" s="25"/>
      <c r="F684" s="24"/>
    </row>
    <row r="685">
      <c r="A685" s="24"/>
      <c r="B685" s="7"/>
      <c r="C685" s="24"/>
      <c r="D685" s="24"/>
      <c r="E685" s="25"/>
      <c r="F685" s="24"/>
    </row>
    <row r="686">
      <c r="A686" s="24"/>
      <c r="B686" s="7"/>
      <c r="C686" s="24"/>
      <c r="D686" s="24"/>
      <c r="E686" s="25"/>
      <c r="F686" s="24"/>
    </row>
    <row r="687">
      <c r="A687" s="24"/>
      <c r="B687" s="7"/>
      <c r="C687" s="24"/>
      <c r="D687" s="24"/>
      <c r="E687" s="25"/>
      <c r="F687" s="24"/>
    </row>
    <row r="688">
      <c r="A688" s="24"/>
      <c r="B688" s="7"/>
      <c r="C688" s="24"/>
      <c r="D688" s="24"/>
      <c r="E688" s="25"/>
      <c r="F688" s="24"/>
    </row>
    <row r="689">
      <c r="A689" s="24"/>
      <c r="B689" s="7"/>
      <c r="C689" s="24"/>
      <c r="D689" s="24"/>
      <c r="E689" s="25"/>
      <c r="F689" s="24"/>
    </row>
    <row r="690">
      <c r="A690" s="24"/>
      <c r="B690" s="7"/>
      <c r="C690" s="24"/>
      <c r="D690" s="24"/>
      <c r="E690" s="25"/>
      <c r="F690" s="24"/>
    </row>
    <row r="691">
      <c r="A691" s="24"/>
      <c r="B691" s="7"/>
      <c r="C691" s="24"/>
      <c r="D691" s="24"/>
      <c r="E691" s="25"/>
      <c r="F691" s="24"/>
    </row>
    <row r="692">
      <c r="A692" s="24"/>
      <c r="B692" s="7"/>
      <c r="C692" s="24"/>
      <c r="D692" s="24"/>
      <c r="E692" s="25"/>
      <c r="F692" s="24"/>
    </row>
    <row r="693">
      <c r="A693" s="24"/>
      <c r="B693" s="7"/>
      <c r="C693" s="24"/>
      <c r="D693" s="24"/>
      <c r="E693" s="25"/>
      <c r="F693" s="24"/>
    </row>
    <row r="694">
      <c r="A694" s="24"/>
      <c r="B694" s="7"/>
      <c r="C694" s="24"/>
      <c r="D694" s="24"/>
      <c r="E694" s="25"/>
      <c r="F694" s="24"/>
    </row>
    <row r="695">
      <c r="A695" s="24"/>
      <c r="B695" s="7"/>
      <c r="C695" s="24"/>
      <c r="D695" s="24"/>
      <c r="E695" s="25"/>
      <c r="F695" s="24"/>
    </row>
    <row r="696">
      <c r="A696" s="24"/>
      <c r="B696" s="7"/>
      <c r="C696" s="24"/>
      <c r="D696" s="24"/>
      <c r="E696" s="25"/>
      <c r="F696" s="24"/>
    </row>
    <row r="697">
      <c r="A697" s="24"/>
      <c r="B697" s="7"/>
      <c r="C697" s="24"/>
      <c r="D697" s="24"/>
      <c r="E697" s="25"/>
      <c r="F697" s="24"/>
    </row>
    <row r="698">
      <c r="A698" s="24"/>
      <c r="B698" s="7"/>
      <c r="C698" s="24"/>
      <c r="D698" s="24"/>
      <c r="E698" s="25"/>
      <c r="F698" s="24"/>
    </row>
    <row r="699">
      <c r="A699" s="24"/>
      <c r="B699" s="7"/>
      <c r="C699" s="24"/>
      <c r="D699" s="24"/>
      <c r="E699" s="25"/>
      <c r="F699" s="24"/>
    </row>
    <row r="700">
      <c r="A700" s="24"/>
      <c r="B700" s="7"/>
      <c r="C700" s="24"/>
      <c r="D700" s="24"/>
      <c r="E700" s="25"/>
      <c r="F700" s="24"/>
    </row>
    <row r="701">
      <c r="A701" s="24"/>
      <c r="B701" s="7"/>
      <c r="C701" s="24"/>
      <c r="D701" s="24"/>
      <c r="E701" s="25"/>
      <c r="F701" s="24"/>
    </row>
    <row r="702">
      <c r="A702" s="24"/>
      <c r="B702" s="7"/>
      <c r="C702" s="24"/>
      <c r="D702" s="24"/>
      <c r="E702" s="25"/>
      <c r="F702" s="24"/>
    </row>
    <row r="703">
      <c r="A703" s="24"/>
      <c r="B703" s="7"/>
      <c r="C703" s="24"/>
      <c r="D703" s="24"/>
      <c r="E703" s="25"/>
      <c r="F703" s="24"/>
    </row>
    <row r="704">
      <c r="A704" s="24"/>
      <c r="B704" s="7"/>
      <c r="C704" s="24"/>
      <c r="D704" s="24"/>
      <c r="E704" s="25"/>
      <c r="F704" s="24"/>
    </row>
    <row r="705">
      <c r="A705" s="24"/>
      <c r="B705" s="7"/>
      <c r="C705" s="24"/>
      <c r="D705" s="24"/>
      <c r="E705" s="25"/>
      <c r="F705" s="24"/>
    </row>
    <row r="706">
      <c r="A706" s="24"/>
      <c r="B706" s="7"/>
      <c r="C706" s="24"/>
      <c r="D706" s="24"/>
      <c r="E706" s="25"/>
      <c r="F706" s="24"/>
    </row>
    <row r="707">
      <c r="A707" s="24"/>
      <c r="B707" s="7"/>
      <c r="C707" s="24"/>
      <c r="D707" s="24"/>
      <c r="E707" s="25"/>
      <c r="F707" s="24"/>
    </row>
    <row r="708">
      <c r="A708" s="24"/>
      <c r="B708" s="7"/>
      <c r="C708" s="24"/>
      <c r="D708" s="24"/>
      <c r="E708" s="25"/>
      <c r="F708" s="24"/>
    </row>
    <row r="709">
      <c r="A709" s="24"/>
      <c r="B709" s="7"/>
      <c r="C709" s="24"/>
      <c r="D709" s="24"/>
      <c r="E709" s="25"/>
      <c r="F709" s="24"/>
    </row>
    <row r="710">
      <c r="A710" s="24"/>
      <c r="B710" s="7"/>
      <c r="C710" s="24"/>
      <c r="D710" s="24"/>
      <c r="E710" s="25"/>
      <c r="F710" s="24"/>
    </row>
    <row r="711">
      <c r="A711" s="24"/>
      <c r="B711" s="7"/>
      <c r="C711" s="24"/>
      <c r="D711" s="24"/>
      <c r="E711" s="25"/>
      <c r="F711" s="24"/>
    </row>
    <row r="712">
      <c r="A712" s="24"/>
      <c r="B712" s="7"/>
      <c r="C712" s="24"/>
      <c r="D712" s="24"/>
      <c r="E712" s="25"/>
      <c r="F712" s="24"/>
    </row>
    <row r="713">
      <c r="A713" s="24"/>
      <c r="B713" s="7"/>
      <c r="C713" s="24"/>
      <c r="D713" s="24"/>
      <c r="E713" s="25"/>
      <c r="F713" s="24"/>
    </row>
    <row r="714">
      <c r="A714" s="24"/>
      <c r="B714" s="7"/>
      <c r="C714" s="24"/>
      <c r="D714" s="24"/>
      <c r="E714" s="25"/>
      <c r="F714" s="24"/>
    </row>
    <row r="715">
      <c r="A715" s="24"/>
      <c r="B715" s="7"/>
      <c r="C715" s="24"/>
      <c r="D715" s="24"/>
      <c r="E715" s="25"/>
      <c r="F715" s="24"/>
    </row>
    <row r="716">
      <c r="A716" s="24"/>
      <c r="B716" s="7"/>
      <c r="C716" s="24"/>
      <c r="D716" s="24"/>
      <c r="E716" s="25"/>
      <c r="F716" s="24"/>
    </row>
    <row r="717">
      <c r="A717" s="24"/>
      <c r="B717" s="7"/>
      <c r="C717" s="24"/>
      <c r="D717" s="24"/>
      <c r="E717" s="25"/>
      <c r="F717" s="24"/>
    </row>
    <row r="718">
      <c r="A718" s="24"/>
      <c r="B718" s="7"/>
      <c r="C718" s="24"/>
      <c r="D718" s="24"/>
      <c r="E718" s="25"/>
      <c r="F718" s="24"/>
    </row>
    <row r="719">
      <c r="A719" s="24"/>
      <c r="B719" s="7"/>
      <c r="C719" s="24"/>
      <c r="D719" s="24"/>
      <c r="E719" s="25"/>
      <c r="F719" s="24"/>
    </row>
    <row r="720">
      <c r="A720" s="24"/>
      <c r="B720" s="7"/>
      <c r="C720" s="24"/>
      <c r="D720" s="24"/>
      <c r="E720" s="25"/>
      <c r="F720" s="24"/>
    </row>
    <row r="721">
      <c r="A721" s="24"/>
      <c r="B721" s="7"/>
      <c r="C721" s="24"/>
      <c r="D721" s="24"/>
      <c r="E721" s="25"/>
      <c r="F721" s="24"/>
    </row>
    <row r="722">
      <c r="A722" s="24"/>
      <c r="B722" s="7"/>
      <c r="C722" s="24"/>
      <c r="D722" s="24"/>
      <c r="E722" s="25"/>
      <c r="F722" s="24"/>
    </row>
    <row r="723">
      <c r="A723" s="24"/>
      <c r="B723" s="7"/>
      <c r="C723" s="24"/>
      <c r="D723" s="24"/>
      <c r="E723" s="25"/>
      <c r="F723" s="24"/>
    </row>
    <row r="724">
      <c r="A724" s="24"/>
      <c r="B724" s="7"/>
      <c r="C724" s="24"/>
      <c r="D724" s="24"/>
      <c r="E724" s="25"/>
      <c r="F724" s="24"/>
    </row>
    <row r="725">
      <c r="A725" s="24"/>
      <c r="B725" s="7"/>
      <c r="C725" s="24"/>
      <c r="D725" s="24"/>
      <c r="E725" s="25"/>
      <c r="F725" s="24"/>
    </row>
    <row r="726">
      <c r="A726" s="24"/>
      <c r="B726" s="7"/>
      <c r="C726" s="24"/>
      <c r="D726" s="24"/>
      <c r="E726" s="25"/>
      <c r="F726" s="24"/>
    </row>
    <row r="727">
      <c r="A727" s="24"/>
      <c r="B727" s="7"/>
      <c r="C727" s="24"/>
      <c r="D727" s="24"/>
      <c r="E727" s="25"/>
      <c r="F727" s="24"/>
    </row>
    <row r="728">
      <c r="A728" s="24"/>
      <c r="B728" s="7"/>
      <c r="C728" s="24"/>
      <c r="D728" s="24"/>
      <c r="E728" s="25"/>
      <c r="F728" s="24"/>
    </row>
    <row r="729">
      <c r="A729" s="24"/>
      <c r="B729" s="7"/>
      <c r="C729" s="24"/>
      <c r="D729" s="24"/>
      <c r="E729" s="25"/>
      <c r="F729" s="24"/>
    </row>
    <row r="730">
      <c r="A730" s="24"/>
      <c r="B730" s="7"/>
      <c r="C730" s="24"/>
      <c r="D730" s="24"/>
      <c r="E730" s="25"/>
      <c r="F730" s="24"/>
    </row>
    <row r="731">
      <c r="A731" s="24"/>
      <c r="B731" s="7"/>
      <c r="C731" s="24"/>
      <c r="D731" s="24"/>
      <c r="E731" s="25"/>
      <c r="F731" s="24"/>
    </row>
    <row r="732">
      <c r="A732" s="24"/>
      <c r="B732" s="7"/>
      <c r="C732" s="24"/>
      <c r="D732" s="24"/>
      <c r="E732" s="25"/>
      <c r="F732" s="24"/>
    </row>
    <row r="733">
      <c r="A733" s="24"/>
      <c r="B733" s="7"/>
      <c r="C733" s="24"/>
      <c r="D733" s="24"/>
      <c r="E733" s="25"/>
      <c r="F733" s="24"/>
    </row>
    <row r="734">
      <c r="A734" s="24"/>
      <c r="B734" s="7"/>
      <c r="C734" s="24"/>
      <c r="D734" s="24"/>
      <c r="E734" s="25"/>
      <c r="F734" s="24"/>
    </row>
    <row r="735">
      <c r="A735" s="24"/>
      <c r="B735" s="7"/>
      <c r="C735" s="24"/>
      <c r="D735" s="24"/>
      <c r="E735" s="25"/>
      <c r="F735" s="24"/>
    </row>
    <row r="736">
      <c r="A736" s="24"/>
      <c r="B736" s="7"/>
      <c r="C736" s="24"/>
      <c r="D736" s="24"/>
      <c r="E736" s="25"/>
      <c r="F736" s="24"/>
    </row>
    <row r="737">
      <c r="A737" s="24"/>
      <c r="B737" s="7"/>
      <c r="C737" s="24"/>
      <c r="D737" s="24"/>
      <c r="E737" s="25"/>
      <c r="F737" s="24"/>
    </row>
    <row r="738">
      <c r="A738" s="24"/>
      <c r="B738" s="7"/>
      <c r="C738" s="24"/>
      <c r="D738" s="24"/>
      <c r="E738" s="25"/>
      <c r="F738" s="24"/>
    </row>
    <row r="739">
      <c r="A739" s="24"/>
      <c r="B739" s="7"/>
      <c r="C739" s="24"/>
      <c r="D739" s="24"/>
      <c r="E739" s="25"/>
      <c r="F739" s="24"/>
    </row>
    <row r="740">
      <c r="A740" s="24"/>
      <c r="B740" s="7"/>
      <c r="C740" s="24"/>
      <c r="D740" s="24"/>
      <c r="E740" s="25"/>
      <c r="F740" s="24"/>
    </row>
    <row r="741">
      <c r="A741" s="24"/>
      <c r="B741" s="7"/>
      <c r="C741" s="24"/>
      <c r="D741" s="24"/>
      <c r="E741" s="25"/>
      <c r="F741" s="24"/>
    </row>
    <row r="742">
      <c r="A742" s="24"/>
      <c r="B742" s="7"/>
      <c r="C742" s="24"/>
      <c r="D742" s="24"/>
      <c r="E742" s="25"/>
      <c r="F742" s="24"/>
    </row>
    <row r="743">
      <c r="A743" s="24"/>
      <c r="B743" s="7"/>
      <c r="C743" s="24"/>
      <c r="D743" s="24"/>
      <c r="E743" s="25"/>
      <c r="F743" s="24"/>
    </row>
    <row r="744">
      <c r="A744" s="24"/>
      <c r="B744" s="7"/>
      <c r="C744" s="24"/>
      <c r="D744" s="24"/>
      <c r="E744" s="25"/>
      <c r="F744" s="24"/>
    </row>
    <row r="745">
      <c r="A745" s="24"/>
      <c r="B745" s="7"/>
      <c r="C745" s="24"/>
      <c r="D745" s="24"/>
      <c r="E745" s="25"/>
      <c r="F745" s="24"/>
    </row>
    <row r="746">
      <c r="A746" s="24"/>
      <c r="B746" s="7"/>
      <c r="C746" s="24"/>
      <c r="D746" s="24"/>
      <c r="E746" s="25"/>
      <c r="F746" s="24"/>
    </row>
    <row r="747">
      <c r="A747" s="24"/>
      <c r="B747" s="7"/>
      <c r="C747" s="24"/>
      <c r="D747" s="24"/>
      <c r="E747" s="25"/>
      <c r="F747" s="24"/>
    </row>
    <row r="748">
      <c r="A748" s="24"/>
      <c r="B748" s="7"/>
      <c r="C748" s="24"/>
      <c r="D748" s="24"/>
      <c r="E748" s="25"/>
      <c r="F748" s="24"/>
    </row>
    <row r="749">
      <c r="A749" s="24"/>
      <c r="B749" s="7"/>
      <c r="C749" s="24"/>
      <c r="D749" s="24"/>
      <c r="E749" s="25"/>
      <c r="F749" s="24"/>
    </row>
    <row r="750">
      <c r="A750" s="24"/>
      <c r="B750" s="7"/>
      <c r="C750" s="24"/>
      <c r="D750" s="24"/>
      <c r="E750" s="25"/>
      <c r="F750" s="24"/>
    </row>
    <row r="751">
      <c r="A751" s="24"/>
      <c r="B751" s="7"/>
      <c r="C751" s="24"/>
      <c r="D751" s="24"/>
      <c r="E751" s="25"/>
      <c r="F751" s="24"/>
    </row>
    <row r="752">
      <c r="A752" s="24"/>
      <c r="B752" s="7"/>
      <c r="C752" s="24"/>
      <c r="D752" s="24"/>
      <c r="E752" s="25"/>
      <c r="F752" s="24"/>
    </row>
    <row r="753">
      <c r="A753" s="24"/>
      <c r="B753" s="7"/>
      <c r="C753" s="24"/>
      <c r="D753" s="24"/>
      <c r="E753" s="25"/>
      <c r="F753" s="24"/>
    </row>
    <row r="754">
      <c r="A754" s="24"/>
      <c r="B754" s="7"/>
      <c r="C754" s="24"/>
      <c r="D754" s="24"/>
      <c r="E754" s="25"/>
      <c r="F754" s="24"/>
    </row>
    <row r="755">
      <c r="A755" s="24"/>
      <c r="B755" s="7"/>
      <c r="C755" s="24"/>
      <c r="D755" s="24"/>
      <c r="E755" s="25"/>
      <c r="F755" s="24"/>
    </row>
    <row r="756">
      <c r="A756" s="24"/>
      <c r="B756" s="7"/>
      <c r="C756" s="24"/>
      <c r="D756" s="24"/>
      <c r="E756" s="25"/>
      <c r="F756" s="24"/>
    </row>
    <row r="757">
      <c r="A757" s="24"/>
      <c r="B757" s="7"/>
      <c r="C757" s="24"/>
      <c r="D757" s="24"/>
      <c r="E757" s="25"/>
      <c r="F757" s="24"/>
    </row>
    <row r="758">
      <c r="A758" s="24"/>
      <c r="B758" s="7"/>
      <c r="C758" s="24"/>
      <c r="D758" s="24"/>
      <c r="E758" s="25"/>
      <c r="F758" s="24"/>
    </row>
    <row r="759">
      <c r="A759" s="24"/>
      <c r="B759" s="7"/>
      <c r="C759" s="24"/>
      <c r="D759" s="24"/>
      <c r="E759" s="25"/>
      <c r="F759" s="24"/>
    </row>
    <row r="760">
      <c r="A760" s="24"/>
      <c r="B760" s="7"/>
      <c r="C760" s="24"/>
      <c r="D760" s="24"/>
      <c r="E760" s="25"/>
      <c r="F760" s="24"/>
    </row>
    <row r="761">
      <c r="A761" s="24"/>
      <c r="B761" s="7"/>
      <c r="C761" s="24"/>
      <c r="D761" s="24"/>
      <c r="E761" s="25"/>
      <c r="F761" s="24"/>
    </row>
    <row r="762">
      <c r="A762" s="24"/>
      <c r="B762" s="7"/>
      <c r="C762" s="24"/>
      <c r="D762" s="24"/>
      <c r="E762" s="25"/>
      <c r="F762" s="24"/>
    </row>
    <row r="763">
      <c r="A763" s="24"/>
      <c r="B763" s="7"/>
      <c r="C763" s="24"/>
      <c r="D763" s="24"/>
      <c r="E763" s="25"/>
      <c r="F763" s="24"/>
    </row>
    <row r="764">
      <c r="A764" s="24"/>
      <c r="B764" s="7"/>
      <c r="C764" s="24"/>
      <c r="D764" s="24"/>
      <c r="E764" s="25"/>
      <c r="F764" s="24"/>
    </row>
    <row r="765">
      <c r="A765" s="24"/>
      <c r="B765" s="7"/>
      <c r="C765" s="24"/>
      <c r="D765" s="24"/>
      <c r="E765" s="25"/>
      <c r="F765" s="24"/>
    </row>
    <row r="766">
      <c r="A766" s="24"/>
      <c r="B766" s="7"/>
      <c r="C766" s="24"/>
      <c r="D766" s="24"/>
      <c r="E766" s="25"/>
      <c r="F766" s="24"/>
    </row>
    <row r="767">
      <c r="A767" s="24"/>
      <c r="B767" s="7"/>
      <c r="C767" s="24"/>
      <c r="D767" s="24"/>
      <c r="E767" s="25"/>
      <c r="F767" s="24"/>
    </row>
    <row r="768">
      <c r="A768" s="24"/>
      <c r="B768" s="7"/>
      <c r="C768" s="24"/>
      <c r="D768" s="24"/>
      <c r="E768" s="25"/>
      <c r="F768" s="24"/>
    </row>
    <row r="769">
      <c r="A769" s="24"/>
      <c r="B769" s="7"/>
      <c r="C769" s="24"/>
      <c r="D769" s="24"/>
      <c r="E769" s="25"/>
      <c r="F769" s="24"/>
    </row>
    <row r="770">
      <c r="A770" s="24"/>
      <c r="B770" s="7"/>
      <c r="C770" s="24"/>
      <c r="D770" s="24"/>
      <c r="E770" s="25"/>
      <c r="F770" s="24"/>
    </row>
    <row r="771">
      <c r="A771" s="24"/>
      <c r="B771" s="7"/>
      <c r="C771" s="24"/>
      <c r="D771" s="24"/>
      <c r="E771" s="25"/>
      <c r="F771" s="24"/>
    </row>
    <row r="772">
      <c r="A772" s="24"/>
      <c r="B772" s="7"/>
      <c r="C772" s="24"/>
      <c r="D772" s="24"/>
      <c r="E772" s="25"/>
      <c r="F772" s="24"/>
    </row>
    <row r="773">
      <c r="A773" s="24"/>
      <c r="B773" s="7"/>
      <c r="C773" s="24"/>
      <c r="D773" s="24"/>
      <c r="E773" s="25"/>
      <c r="F773" s="24"/>
    </row>
    <row r="774">
      <c r="A774" s="24"/>
      <c r="B774" s="7"/>
      <c r="C774" s="24"/>
      <c r="D774" s="24"/>
      <c r="E774" s="25"/>
      <c r="F774" s="24"/>
    </row>
    <row r="775">
      <c r="A775" s="24"/>
      <c r="B775" s="7"/>
      <c r="C775" s="24"/>
      <c r="D775" s="24"/>
      <c r="E775" s="25"/>
      <c r="F775" s="24"/>
    </row>
    <row r="776">
      <c r="A776" s="24"/>
      <c r="B776" s="7"/>
      <c r="C776" s="24"/>
      <c r="D776" s="24"/>
      <c r="E776" s="25"/>
      <c r="F776" s="24"/>
    </row>
    <row r="777">
      <c r="A777" s="24"/>
      <c r="B777" s="7"/>
      <c r="C777" s="24"/>
      <c r="D777" s="24"/>
      <c r="E777" s="25"/>
      <c r="F777" s="24"/>
    </row>
    <row r="778">
      <c r="A778" s="24"/>
      <c r="B778" s="7"/>
      <c r="C778" s="24"/>
      <c r="D778" s="24"/>
      <c r="E778" s="25"/>
      <c r="F778" s="24"/>
    </row>
    <row r="779">
      <c r="A779" s="24"/>
      <c r="B779" s="7"/>
      <c r="C779" s="24"/>
      <c r="D779" s="24"/>
      <c r="E779" s="25"/>
      <c r="F779" s="24"/>
    </row>
    <row r="780">
      <c r="A780" s="24"/>
      <c r="B780" s="7"/>
      <c r="C780" s="24"/>
      <c r="D780" s="24"/>
      <c r="E780" s="25"/>
      <c r="F780" s="24"/>
    </row>
    <row r="781">
      <c r="A781" s="24"/>
      <c r="B781" s="7"/>
      <c r="C781" s="24"/>
      <c r="D781" s="24"/>
      <c r="E781" s="25"/>
      <c r="F781" s="24"/>
    </row>
    <row r="782">
      <c r="A782" s="24"/>
      <c r="B782" s="7"/>
      <c r="C782" s="24"/>
      <c r="D782" s="24"/>
      <c r="E782" s="25"/>
      <c r="F782" s="24"/>
    </row>
    <row r="783">
      <c r="A783" s="24"/>
      <c r="B783" s="7"/>
      <c r="C783" s="24"/>
      <c r="D783" s="24"/>
      <c r="E783" s="25"/>
      <c r="F783" s="24"/>
    </row>
    <row r="784">
      <c r="A784" s="24"/>
      <c r="B784" s="7"/>
      <c r="C784" s="24"/>
      <c r="D784" s="24"/>
      <c r="E784" s="25"/>
      <c r="F784" s="24"/>
    </row>
    <row r="785">
      <c r="A785" s="24"/>
      <c r="B785" s="7"/>
      <c r="C785" s="24"/>
      <c r="D785" s="24"/>
      <c r="E785" s="25"/>
      <c r="F785" s="24"/>
    </row>
    <row r="786">
      <c r="A786" s="24"/>
      <c r="B786" s="7"/>
      <c r="C786" s="24"/>
      <c r="D786" s="24"/>
      <c r="E786" s="25"/>
      <c r="F786" s="24"/>
    </row>
    <row r="787">
      <c r="A787" s="24"/>
      <c r="B787" s="7"/>
      <c r="C787" s="24"/>
      <c r="D787" s="24"/>
      <c r="E787" s="25"/>
      <c r="F787" s="24"/>
    </row>
    <row r="788">
      <c r="A788" s="24"/>
      <c r="B788" s="7"/>
      <c r="C788" s="24"/>
      <c r="D788" s="24"/>
      <c r="E788" s="25"/>
      <c r="F788" s="24"/>
    </row>
    <row r="789">
      <c r="A789" s="24"/>
      <c r="B789" s="7"/>
      <c r="C789" s="24"/>
      <c r="D789" s="24"/>
      <c r="E789" s="25"/>
      <c r="F789" s="24"/>
    </row>
    <row r="790">
      <c r="A790" s="24"/>
      <c r="B790" s="7"/>
      <c r="C790" s="24"/>
      <c r="D790" s="24"/>
      <c r="E790" s="25"/>
      <c r="F790" s="24"/>
    </row>
    <row r="791">
      <c r="A791" s="24"/>
      <c r="B791" s="7"/>
      <c r="C791" s="24"/>
      <c r="D791" s="24"/>
      <c r="E791" s="25"/>
      <c r="F791" s="24"/>
    </row>
    <row r="792">
      <c r="A792" s="24"/>
      <c r="B792" s="7"/>
      <c r="C792" s="24"/>
      <c r="D792" s="24"/>
      <c r="E792" s="25"/>
      <c r="F792" s="24"/>
    </row>
    <row r="793">
      <c r="A793" s="24"/>
      <c r="B793" s="7"/>
      <c r="C793" s="24"/>
      <c r="D793" s="24"/>
      <c r="E793" s="25"/>
      <c r="F793" s="24"/>
    </row>
    <row r="794">
      <c r="A794" s="24"/>
      <c r="B794" s="7"/>
      <c r="C794" s="24"/>
      <c r="D794" s="24"/>
      <c r="E794" s="25"/>
      <c r="F794" s="24"/>
    </row>
    <row r="795">
      <c r="A795" s="24"/>
      <c r="B795" s="7"/>
      <c r="C795" s="24"/>
      <c r="D795" s="24"/>
      <c r="E795" s="25"/>
      <c r="F795" s="24"/>
    </row>
    <row r="796">
      <c r="A796" s="24"/>
      <c r="B796" s="7"/>
      <c r="C796" s="24"/>
      <c r="D796" s="24"/>
      <c r="E796" s="25"/>
      <c r="F796" s="24"/>
    </row>
    <row r="797">
      <c r="A797" s="24"/>
      <c r="B797" s="7"/>
      <c r="C797" s="24"/>
      <c r="D797" s="24"/>
      <c r="E797" s="25"/>
      <c r="F797" s="24"/>
    </row>
    <row r="798">
      <c r="A798" s="24"/>
      <c r="B798" s="7"/>
      <c r="C798" s="24"/>
      <c r="D798" s="24"/>
      <c r="E798" s="25"/>
      <c r="F798" s="24"/>
    </row>
    <row r="799">
      <c r="A799" s="24"/>
      <c r="B799" s="7"/>
      <c r="C799" s="24"/>
      <c r="D799" s="24"/>
      <c r="E799" s="25"/>
      <c r="F799" s="24"/>
    </row>
    <row r="800">
      <c r="A800" s="24"/>
      <c r="B800" s="7"/>
      <c r="C800" s="24"/>
      <c r="D800" s="24"/>
      <c r="E800" s="25"/>
      <c r="F800" s="24"/>
    </row>
    <row r="801">
      <c r="A801" s="24"/>
      <c r="B801" s="7"/>
      <c r="C801" s="24"/>
      <c r="D801" s="24"/>
      <c r="E801" s="25"/>
      <c r="F801" s="24"/>
    </row>
    <row r="802">
      <c r="A802" s="24"/>
      <c r="B802" s="7"/>
      <c r="C802" s="24"/>
      <c r="D802" s="24"/>
      <c r="E802" s="25"/>
      <c r="F802" s="24"/>
    </row>
    <row r="803">
      <c r="A803" s="24"/>
      <c r="B803" s="7"/>
      <c r="C803" s="24"/>
      <c r="D803" s="24"/>
      <c r="E803" s="25"/>
      <c r="F803" s="24"/>
    </row>
    <row r="804">
      <c r="A804" s="24"/>
      <c r="B804" s="7"/>
      <c r="C804" s="24"/>
      <c r="D804" s="24"/>
      <c r="E804" s="25"/>
      <c r="F804" s="24"/>
    </row>
    <row r="805">
      <c r="A805" s="24"/>
      <c r="B805" s="7"/>
      <c r="C805" s="24"/>
      <c r="D805" s="24"/>
      <c r="E805" s="25"/>
      <c r="F805" s="24"/>
    </row>
    <row r="806">
      <c r="A806" s="24"/>
      <c r="B806" s="7"/>
      <c r="C806" s="24"/>
      <c r="D806" s="24"/>
      <c r="E806" s="25"/>
      <c r="F806" s="24"/>
    </row>
    <row r="807">
      <c r="A807" s="24"/>
      <c r="B807" s="7"/>
      <c r="C807" s="24"/>
      <c r="D807" s="24"/>
      <c r="E807" s="25"/>
      <c r="F807" s="24"/>
    </row>
    <row r="808">
      <c r="A808" s="24"/>
      <c r="B808" s="7"/>
      <c r="C808" s="24"/>
      <c r="D808" s="24"/>
      <c r="E808" s="25"/>
      <c r="F808" s="24"/>
    </row>
    <row r="809">
      <c r="A809" s="24"/>
      <c r="B809" s="7"/>
      <c r="C809" s="24"/>
      <c r="D809" s="24"/>
      <c r="E809" s="25"/>
      <c r="F809" s="24"/>
    </row>
    <row r="810">
      <c r="A810" s="24"/>
      <c r="B810" s="7"/>
      <c r="C810" s="24"/>
      <c r="D810" s="24"/>
      <c r="E810" s="25"/>
      <c r="F810" s="24"/>
    </row>
    <row r="811">
      <c r="A811" s="24"/>
      <c r="B811" s="7"/>
      <c r="C811" s="24"/>
      <c r="D811" s="24"/>
      <c r="E811" s="25"/>
      <c r="F811" s="24"/>
    </row>
    <row r="812">
      <c r="A812" s="24"/>
      <c r="B812" s="7"/>
      <c r="C812" s="24"/>
      <c r="D812" s="24"/>
      <c r="E812" s="25"/>
      <c r="F812" s="24"/>
    </row>
    <row r="813">
      <c r="A813" s="24"/>
      <c r="B813" s="7"/>
      <c r="C813" s="24"/>
      <c r="D813" s="24"/>
      <c r="E813" s="25"/>
      <c r="F813" s="24"/>
    </row>
    <row r="814">
      <c r="A814" s="24"/>
      <c r="B814" s="7"/>
      <c r="C814" s="24"/>
      <c r="D814" s="24"/>
      <c r="E814" s="25"/>
      <c r="F814" s="24"/>
    </row>
    <row r="815">
      <c r="A815" s="24"/>
      <c r="B815" s="7"/>
      <c r="C815" s="24"/>
      <c r="D815" s="24"/>
      <c r="E815" s="25"/>
      <c r="F815" s="24"/>
    </row>
    <row r="816">
      <c r="A816" s="24"/>
      <c r="B816" s="7"/>
      <c r="C816" s="24"/>
      <c r="D816" s="24"/>
      <c r="E816" s="25"/>
      <c r="F816" s="24"/>
    </row>
    <row r="817">
      <c r="A817" s="24"/>
      <c r="B817" s="7"/>
      <c r="C817" s="24"/>
      <c r="D817" s="24"/>
      <c r="E817" s="25"/>
      <c r="F817" s="24"/>
    </row>
    <row r="818">
      <c r="A818" s="24"/>
      <c r="B818" s="7"/>
      <c r="C818" s="24"/>
      <c r="D818" s="24"/>
      <c r="E818" s="25"/>
      <c r="F818" s="24"/>
    </row>
    <row r="819">
      <c r="A819" s="24"/>
      <c r="B819" s="7"/>
      <c r="C819" s="24"/>
      <c r="D819" s="24"/>
      <c r="E819" s="25"/>
      <c r="F819" s="24"/>
    </row>
    <row r="820">
      <c r="A820" s="24"/>
      <c r="B820" s="7"/>
      <c r="C820" s="24"/>
      <c r="D820" s="24"/>
      <c r="E820" s="25"/>
      <c r="F820" s="24"/>
    </row>
    <row r="821">
      <c r="A821" s="24"/>
      <c r="B821" s="7"/>
      <c r="C821" s="24"/>
      <c r="D821" s="24"/>
      <c r="E821" s="25"/>
      <c r="F821" s="24"/>
    </row>
    <row r="822">
      <c r="A822" s="24"/>
      <c r="B822" s="7"/>
      <c r="C822" s="24"/>
      <c r="D822" s="24"/>
      <c r="E822" s="25"/>
      <c r="F822" s="24"/>
    </row>
    <row r="823">
      <c r="A823" s="24"/>
      <c r="B823" s="7"/>
      <c r="C823" s="24"/>
      <c r="D823" s="24"/>
      <c r="E823" s="25"/>
      <c r="F823" s="24"/>
    </row>
    <row r="824">
      <c r="A824" s="24"/>
      <c r="B824" s="7"/>
      <c r="C824" s="24"/>
      <c r="D824" s="24"/>
      <c r="E824" s="25"/>
      <c r="F824" s="24"/>
    </row>
    <row r="825">
      <c r="A825" s="24"/>
      <c r="B825" s="7"/>
      <c r="C825" s="24"/>
      <c r="D825" s="24"/>
      <c r="E825" s="25"/>
      <c r="F825" s="24"/>
    </row>
    <row r="826">
      <c r="A826" s="24"/>
      <c r="B826" s="7"/>
      <c r="C826" s="24"/>
      <c r="D826" s="24"/>
      <c r="E826" s="25"/>
      <c r="F826" s="24"/>
    </row>
    <row r="827">
      <c r="A827" s="24"/>
      <c r="B827" s="7"/>
      <c r="C827" s="24"/>
      <c r="D827" s="24"/>
      <c r="E827" s="25"/>
      <c r="F827" s="24"/>
    </row>
    <row r="828">
      <c r="A828" s="24"/>
      <c r="B828" s="7"/>
      <c r="C828" s="24"/>
      <c r="D828" s="24"/>
      <c r="E828" s="25"/>
      <c r="F828" s="24"/>
    </row>
    <row r="829">
      <c r="A829" s="24"/>
      <c r="B829" s="7"/>
      <c r="C829" s="24"/>
      <c r="D829" s="24"/>
      <c r="E829" s="25"/>
      <c r="F829" s="24"/>
    </row>
    <row r="830">
      <c r="A830" s="24"/>
      <c r="B830" s="7"/>
      <c r="C830" s="24"/>
      <c r="D830" s="24"/>
      <c r="E830" s="25"/>
      <c r="F830" s="24"/>
    </row>
    <row r="831">
      <c r="A831" s="24"/>
      <c r="B831" s="7"/>
      <c r="C831" s="24"/>
      <c r="D831" s="24"/>
      <c r="E831" s="25"/>
      <c r="F831" s="24"/>
    </row>
    <row r="832">
      <c r="A832" s="24"/>
      <c r="B832" s="7"/>
      <c r="C832" s="24"/>
      <c r="D832" s="24"/>
      <c r="E832" s="25"/>
      <c r="F832" s="24"/>
    </row>
    <row r="833">
      <c r="A833" s="24"/>
      <c r="B833" s="7"/>
      <c r="C833" s="24"/>
      <c r="D833" s="24"/>
      <c r="E833" s="25"/>
      <c r="F833" s="24"/>
    </row>
    <row r="834">
      <c r="A834" s="24"/>
      <c r="B834" s="7"/>
      <c r="C834" s="24"/>
      <c r="D834" s="24"/>
      <c r="E834" s="25"/>
      <c r="F834" s="24"/>
    </row>
    <row r="835">
      <c r="A835" s="24"/>
      <c r="B835" s="7"/>
      <c r="C835" s="24"/>
      <c r="D835" s="24"/>
      <c r="E835" s="25"/>
      <c r="F835" s="24"/>
    </row>
    <row r="836">
      <c r="A836" s="24"/>
      <c r="B836" s="7"/>
      <c r="C836" s="24"/>
      <c r="D836" s="24"/>
      <c r="E836" s="25"/>
      <c r="F836" s="24"/>
    </row>
    <row r="837">
      <c r="A837" s="24"/>
      <c r="B837" s="7"/>
      <c r="C837" s="24"/>
      <c r="D837" s="24"/>
      <c r="E837" s="25"/>
      <c r="F837" s="24"/>
    </row>
    <row r="838">
      <c r="A838" s="24"/>
      <c r="B838" s="7"/>
      <c r="C838" s="24"/>
      <c r="D838" s="24"/>
      <c r="E838" s="25"/>
      <c r="F838" s="24"/>
    </row>
    <row r="839">
      <c r="A839" s="24"/>
      <c r="B839" s="7"/>
      <c r="C839" s="24"/>
      <c r="D839" s="24"/>
      <c r="E839" s="25"/>
      <c r="F839" s="24"/>
    </row>
    <row r="840">
      <c r="A840" s="24"/>
      <c r="B840" s="7"/>
      <c r="C840" s="24"/>
      <c r="D840" s="24"/>
      <c r="E840" s="25"/>
      <c r="F840" s="24"/>
    </row>
    <row r="841">
      <c r="A841" s="24"/>
      <c r="B841" s="7"/>
      <c r="C841" s="24"/>
      <c r="D841" s="24"/>
      <c r="E841" s="25"/>
      <c r="F841" s="24"/>
    </row>
    <row r="842">
      <c r="A842" s="24"/>
      <c r="B842" s="7"/>
      <c r="C842" s="24"/>
      <c r="D842" s="24"/>
      <c r="E842" s="25"/>
      <c r="F842" s="24"/>
    </row>
    <row r="843">
      <c r="A843" s="24"/>
      <c r="B843" s="7"/>
      <c r="C843" s="24"/>
      <c r="D843" s="24"/>
      <c r="E843" s="25"/>
      <c r="F843" s="24"/>
    </row>
    <row r="844">
      <c r="A844" s="24"/>
      <c r="B844" s="7"/>
      <c r="C844" s="24"/>
      <c r="D844" s="24"/>
      <c r="E844" s="25"/>
      <c r="F844" s="24"/>
    </row>
    <row r="845">
      <c r="A845" s="24"/>
      <c r="B845" s="7"/>
      <c r="C845" s="24"/>
      <c r="D845" s="24"/>
      <c r="E845" s="25"/>
      <c r="F845" s="24"/>
    </row>
    <row r="846">
      <c r="A846" s="24"/>
      <c r="B846" s="7"/>
      <c r="C846" s="24"/>
      <c r="D846" s="24"/>
      <c r="E846" s="25"/>
      <c r="F846" s="24"/>
    </row>
    <row r="847">
      <c r="A847" s="24"/>
      <c r="B847" s="7"/>
      <c r="C847" s="24"/>
      <c r="D847" s="24"/>
      <c r="E847" s="25"/>
      <c r="F847" s="24"/>
    </row>
    <row r="848">
      <c r="A848" s="24"/>
      <c r="B848" s="7"/>
      <c r="C848" s="24"/>
      <c r="D848" s="24"/>
      <c r="E848" s="25"/>
      <c r="F848" s="24"/>
    </row>
    <row r="849">
      <c r="A849" s="24"/>
      <c r="B849" s="7"/>
      <c r="C849" s="24"/>
      <c r="D849" s="24"/>
      <c r="E849" s="25"/>
      <c r="F849" s="24"/>
    </row>
    <row r="850">
      <c r="A850" s="24"/>
      <c r="B850" s="7"/>
      <c r="C850" s="24"/>
      <c r="D850" s="24"/>
      <c r="E850" s="25"/>
      <c r="F850" s="24"/>
    </row>
    <row r="851">
      <c r="A851" s="24"/>
      <c r="B851" s="7"/>
      <c r="C851" s="24"/>
      <c r="D851" s="24"/>
      <c r="E851" s="25"/>
      <c r="F851" s="24"/>
    </row>
    <row r="852">
      <c r="A852" s="24"/>
      <c r="B852" s="7"/>
      <c r="C852" s="24"/>
      <c r="D852" s="24"/>
      <c r="E852" s="25"/>
      <c r="F852" s="24"/>
    </row>
    <row r="853">
      <c r="A853" s="24"/>
      <c r="B853" s="7"/>
      <c r="C853" s="24"/>
      <c r="D853" s="24"/>
      <c r="E853" s="25"/>
      <c r="F853" s="24"/>
    </row>
    <row r="854">
      <c r="A854" s="24"/>
      <c r="B854" s="7"/>
      <c r="C854" s="24"/>
      <c r="D854" s="24"/>
      <c r="E854" s="25"/>
      <c r="F854" s="24"/>
    </row>
    <row r="855">
      <c r="A855" s="24"/>
      <c r="B855" s="7"/>
      <c r="C855" s="24"/>
      <c r="D855" s="24"/>
      <c r="E855" s="25"/>
      <c r="F855" s="24"/>
    </row>
    <row r="856">
      <c r="A856" s="24"/>
      <c r="B856" s="7"/>
      <c r="C856" s="24"/>
      <c r="D856" s="24"/>
      <c r="E856" s="25"/>
      <c r="F856" s="24"/>
    </row>
    <row r="857">
      <c r="A857" s="24"/>
      <c r="B857" s="7"/>
      <c r="C857" s="24"/>
      <c r="D857" s="24"/>
      <c r="E857" s="25"/>
      <c r="F857" s="24"/>
    </row>
    <row r="858">
      <c r="A858" s="24"/>
      <c r="B858" s="7"/>
      <c r="C858" s="24"/>
      <c r="D858" s="24"/>
      <c r="E858" s="25"/>
      <c r="F858" s="24"/>
    </row>
    <row r="859">
      <c r="A859" s="24"/>
      <c r="B859" s="7"/>
      <c r="C859" s="24"/>
      <c r="D859" s="24"/>
      <c r="E859" s="25"/>
      <c r="F859" s="24"/>
    </row>
    <row r="860">
      <c r="A860" s="24"/>
      <c r="B860" s="7"/>
      <c r="C860" s="24"/>
      <c r="D860" s="24"/>
      <c r="E860" s="25"/>
      <c r="F860" s="24"/>
    </row>
    <row r="861">
      <c r="A861" s="24"/>
      <c r="B861" s="7"/>
      <c r="C861" s="24"/>
      <c r="D861" s="24"/>
      <c r="E861" s="25"/>
      <c r="F861" s="24"/>
    </row>
    <row r="862">
      <c r="A862" s="24"/>
      <c r="B862" s="7"/>
      <c r="C862" s="24"/>
      <c r="D862" s="24"/>
      <c r="E862" s="25"/>
      <c r="F862" s="24"/>
    </row>
    <row r="863">
      <c r="A863" s="24"/>
      <c r="B863" s="7"/>
      <c r="C863" s="24"/>
      <c r="D863" s="24"/>
      <c r="E863" s="25"/>
      <c r="F863" s="24"/>
    </row>
    <row r="864">
      <c r="A864" s="24"/>
      <c r="B864" s="7"/>
      <c r="C864" s="24"/>
      <c r="D864" s="24"/>
      <c r="E864" s="25"/>
      <c r="F864" s="24"/>
    </row>
    <row r="865">
      <c r="A865" s="24"/>
      <c r="B865" s="7"/>
      <c r="C865" s="24"/>
      <c r="D865" s="24"/>
      <c r="E865" s="25"/>
      <c r="F865" s="24"/>
    </row>
    <row r="866">
      <c r="A866" s="24"/>
      <c r="B866" s="7"/>
      <c r="C866" s="24"/>
      <c r="D866" s="24"/>
      <c r="E866" s="25"/>
      <c r="F866" s="24"/>
    </row>
    <row r="867">
      <c r="A867" s="24"/>
      <c r="B867" s="7"/>
      <c r="C867" s="24"/>
      <c r="D867" s="24"/>
      <c r="E867" s="25"/>
      <c r="F867" s="24"/>
    </row>
    <row r="868">
      <c r="A868" s="24"/>
      <c r="B868" s="7"/>
      <c r="C868" s="24"/>
      <c r="D868" s="24"/>
      <c r="E868" s="25"/>
      <c r="F868" s="24"/>
    </row>
    <row r="869">
      <c r="A869" s="24"/>
      <c r="B869" s="7"/>
      <c r="C869" s="24"/>
      <c r="D869" s="24"/>
      <c r="E869" s="25"/>
      <c r="F869" s="24"/>
    </row>
    <row r="870">
      <c r="A870" s="24"/>
      <c r="B870" s="7"/>
      <c r="C870" s="24"/>
      <c r="D870" s="24"/>
      <c r="E870" s="25"/>
      <c r="F870" s="24"/>
    </row>
    <row r="871">
      <c r="A871" s="24"/>
      <c r="B871" s="7"/>
      <c r="C871" s="24"/>
      <c r="D871" s="24"/>
      <c r="E871" s="25"/>
      <c r="F871" s="24"/>
    </row>
    <row r="872">
      <c r="A872" s="24"/>
      <c r="B872" s="7"/>
      <c r="C872" s="24"/>
      <c r="D872" s="24"/>
      <c r="E872" s="25"/>
      <c r="F872" s="24"/>
    </row>
    <row r="873">
      <c r="A873" s="24"/>
      <c r="B873" s="7"/>
      <c r="C873" s="24"/>
      <c r="D873" s="24"/>
      <c r="E873" s="25"/>
      <c r="F873" s="24"/>
    </row>
    <row r="874">
      <c r="A874" s="24"/>
      <c r="B874" s="7"/>
      <c r="C874" s="24"/>
      <c r="D874" s="24"/>
      <c r="E874" s="25"/>
      <c r="F874" s="24"/>
    </row>
    <row r="875">
      <c r="A875" s="24"/>
      <c r="B875" s="7"/>
      <c r="C875" s="24"/>
      <c r="D875" s="24"/>
      <c r="E875" s="25"/>
      <c r="F875" s="24"/>
    </row>
    <row r="876">
      <c r="A876" s="24"/>
      <c r="B876" s="7"/>
      <c r="C876" s="24"/>
      <c r="D876" s="24"/>
      <c r="E876" s="25"/>
      <c r="F876" s="24"/>
    </row>
    <row r="877">
      <c r="A877" s="24"/>
      <c r="B877" s="7"/>
      <c r="C877" s="24"/>
      <c r="D877" s="24"/>
      <c r="E877" s="25"/>
      <c r="F877" s="24"/>
    </row>
    <row r="878">
      <c r="A878" s="24"/>
      <c r="B878" s="7"/>
      <c r="C878" s="24"/>
      <c r="D878" s="24"/>
      <c r="E878" s="25"/>
      <c r="F878" s="24"/>
    </row>
    <row r="879">
      <c r="A879" s="24"/>
      <c r="B879" s="7"/>
      <c r="C879" s="24"/>
      <c r="D879" s="24"/>
      <c r="E879" s="25"/>
      <c r="F879" s="24"/>
    </row>
    <row r="880">
      <c r="A880" s="24"/>
      <c r="B880" s="7"/>
      <c r="C880" s="24"/>
      <c r="D880" s="24"/>
      <c r="E880" s="25"/>
      <c r="F880" s="24"/>
    </row>
    <row r="881">
      <c r="A881" s="24"/>
      <c r="B881" s="7"/>
      <c r="C881" s="24"/>
      <c r="D881" s="24"/>
      <c r="E881" s="25"/>
      <c r="F881" s="24"/>
    </row>
    <row r="882">
      <c r="A882" s="24"/>
      <c r="B882" s="7"/>
      <c r="C882" s="24"/>
      <c r="D882" s="24"/>
      <c r="E882" s="25"/>
      <c r="F882" s="24"/>
    </row>
    <row r="883">
      <c r="A883" s="24"/>
      <c r="B883" s="7"/>
      <c r="C883" s="24"/>
      <c r="D883" s="24"/>
      <c r="E883" s="25"/>
      <c r="F883" s="24"/>
    </row>
    <row r="884">
      <c r="A884" s="24"/>
      <c r="B884" s="7"/>
      <c r="C884" s="24"/>
      <c r="D884" s="24"/>
      <c r="E884" s="25"/>
      <c r="F884" s="24"/>
    </row>
    <row r="885">
      <c r="A885" s="24"/>
      <c r="B885" s="7"/>
      <c r="C885" s="24"/>
      <c r="D885" s="24"/>
      <c r="E885" s="25"/>
      <c r="F885" s="24"/>
    </row>
    <row r="886">
      <c r="A886" s="24"/>
      <c r="B886" s="7"/>
      <c r="C886" s="24"/>
      <c r="D886" s="24"/>
      <c r="E886" s="25"/>
      <c r="F886" s="24"/>
    </row>
    <row r="887">
      <c r="A887" s="24"/>
      <c r="B887" s="7"/>
      <c r="C887" s="24"/>
      <c r="D887" s="24"/>
      <c r="E887" s="25"/>
      <c r="F887" s="24"/>
    </row>
    <row r="888">
      <c r="A888" s="24"/>
      <c r="B888" s="7"/>
      <c r="C888" s="24"/>
      <c r="D888" s="24"/>
      <c r="E888" s="25"/>
      <c r="F888" s="24"/>
    </row>
    <row r="889">
      <c r="A889" s="24"/>
      <c r="B889" s="7"/>
      <c r="C889" s="24"/>
      <c r="D889" s="24"/>
      <c r="E889" s="25"/>
      <c r="F889" s="24"/>
    </row>
    <row r="890">
      <c r="A890" s="24"/>
      <c r="B890" s="7"/>
      <c r="C890" s="24"/>
      <c r="D890" s="24"/>
      <c r="E890" s="25"/>
      <c r="F890" s="24"/>
    </row>
    <row r="891">
      <c r="A891" s="24"/>
      <c r="B891" s="7"/>
      <c r="C891" s="24"/>
      <c r="D891" s="24"/>
      <c r="E891" s="25"/>
      <c r="F891" s="24"/>
    </row>
    <row r="892">
      <c r="A892" s="24"/>
      <c r="B892" s="7"/>
      <c r="C892" s="24"/>
      <c r="D892" s="24"/>
      <c r="E892" s="25"/>
      <c r="F892" s="24"/>
    </row>
    <row r="893">
      <c r="A893" s="24"/>
      <c r="B893" s="7"/>
      <c r="C893" s="24"/>
      <c r="D893" s="24"/>
      <c r="E893" s="25"/>
      <c r="F893" s="24"/>
    </row>
    <row r="894">
      <c r="A894" s="24"/>
      <c r="B894" s="7"/>
      <c r="C894" s="24"/>
      <c r="D894" s="24"/>
      <c r="E894" s="25"/>
      <c r="F894" s="24"/>
    </row>
    <row r="895">
      <c r="A895" s="24"/>
      <c r="B895" s="7"/>
      <c r="C895" s="24"/>
      <c r="D895" s="24"/>
      <c r="E895" s="25"/>
      <c r="F895" s="24"/>
    </row>
    <row r="896">
      <c r="A896" s="24"/>
      <c r="B896" s="7"/>
      <c r="C896" s="24"/>
      <c r="D896" s="24"/>
      <c r="E896" s="25"/>
      <c r="F896" s="24"/>
    </row>
    <row r="897">
      <c r="A897" s="24"/>
      <c r="B897" s="7"/>
      <c r="C897" s="24"/>
      <c r="D897" s="24"/>
      <c r="E897" s="25"/>
      <c r="F897" s="24"/>
    </row>
    <row r="898">
      <c r="A898" s="24"/>
      <c r="B898" s="7"/>
      <c r="C898" s="24"/>
      <c r="D898" s="24"/>
      <c r="E898" s="25"/>
      <c r="F898" s="24"/>
    </row>
    <row r="899">
      <c r="A899" s="24"/>
      <c r="B899" s="7"/>
      <c r="C899" s="24"/>
      <c r="D899" s="24"/>
      <c r="E899" s="25"/>
      <c r="F899" s="24"/>
    </row>
    <row r="900">
      <c r="A900" s="24"/>
      <c r="B900" s="7"/>
      <c r="C900" s="24"/>
      <c r="D900" s="24"/>
      <c r="E900" s="25"/>
      <c r="F900" s="24"/>
    </row>
    <row r="901">
      <c r="A901" s="24"/>
      <c r="B901" s="7"/>
      <c r="C901" s="24"/>
      <c r="D901" s="24"/>
      <c r="E901" s="25"/>
      <c r="F901" s="24"/>
    </row>
    <row r="902">
      <c r="A902" s="24"/>
      <c r="B902" s="7"/>
      <c r="C902" s="24"/>
      <c r="D902" s="24"/>
      <c r="E902" s="25"/>
      <c r="F902" s="24"/>
    </row>
    <row r="903">
      <c r="A903" s="24"/>
      <c r="B903" s="7"/>
      <c r="C903" s="24"/>
      <c r="D903" s="24"/>
      <c r="E903" s="25"/>
      <c r="F903" s="24"/>
    </row>
    <row r="904">
      <c r="A904" s="24"/>
      <c r="B904" s="7"/>
      <c r="C904" s="24"/>
      <c r="D904" s="24"/>
      <c r="E904" s="25"/>
      <c r="F904" s="24"/>
    </row>
    <row r="905">
      <c r="A905" s="24"/>
      <c r="B905" s="7"/>
      <c r="C905" s="24"/>
      <c r="D905" s="24"/>
      <c r="E905" s="25"/>
      <c r="F905" s="24"/>
    </row>
    <row r="906">
      <c r="A906" s="24"/>
      <c r="B906" s="7"/>
      <c r="C906" s="24"/>
      <c r="D906" s="24"/>
      <c r="E906" s="25"/>
      <c r="F906" s="24"/>
    </row>
    <row r="907">
      <c r="A907" s="24"/>
      <c r="B907" s="7"/>
      <c r="C907" s="24"/>
      <c r="D907" s="24"/>
      <c r="E907" s="25"/>
      <c r="F907" s="24"/>
    </row>
    <row r="908">
      <c r="A908" s="24"/>
      <c r="B908" s="7"/>
      <c r="C908" s="24"/>
      <c r="D908" s="24"/>
      <c r="E908" s="25"/>
      <c r="F908" s="24"/>
    </row>
    <row r="909">
      <c r="A909" s="24"/>
      <c r="B909" s="7"/>
      <c r="C909" s="24"/>
      <c r="D909" s="24"/>
      <c r="E909" s="25"/>
      <c r="F909" s="24"/>
    </row>
    <row r="910">
      <c r="A910" s="24"/>
      <c r="B910" s="7"/>
      <c r="C910" s="24"/>
      <c r="D910" s="24"/>
      <c r="E910" s="25"/>
      <c r="F910" s="24"/>
    </row>
    <row r="911">
      <c r="A911" s="24"/>
      <c r="B911" s="7"/>
      <c r="C911" s="24"/>
      <c r="D911" s="24"/>
      <c r="E911" s="25"/>
      <c r="F911" s="24"/>
    </row>
    <row r="912">
      <c r="A912" s="24"/>
      <c r="B912" s="7"/>
      <c r="C912" s="24"/>
      <c r="D912" s="24"/>
      <c r="E912" s="25"/>
      <c r="F912" s="24"/>
    </row>
    <row r="913">
      <c r="A913" s="24"/>
      <c r="B913" s="7"/>
      <c r="C913" s="24"/>
      <c r="D913" s="24"/>
      <c r="E913" s="25"/>
      <c r="F913" s="24"/>
    </row>
    <row r="914">
      <c r="A914" s="24"/>
      <c r="B914" s="7"/>
      <c r="C914" s="24"/>
      <c r="D914" s="24"/>
      <c r="E914" s="25"/>
      <c r="F914" s="24"/>
    </row>
    <row r="915">
      <c r="A915" s="24"/>
      <c r="B915" s="7"/>
      <c r="C915" s="24"/>
      <c r="D915" s="24"/>
      <c r="E915" s="25"/>
      <c r="F915" s="24"/>
    </row>
    <row r="916">
      <c r="A916" s="24"/>
      <c r="B916" s="7"/>
      <c r="C916" s="24"/>
      <c r="D916" s="24"/>
      <c r="E916" s="25"/>
      <c r="F916" s="24"/>
    </row>
    <row r="917">
      <c r="A917" s="24"/>
      <c r="B917" s="7"/>
      <c r="C917" s="24"/>
      <c r="D917" s="24"/>
      <c r="E917" s="25"/>
      <c r="F917" s="24"/>
    </row>
    <row r="918">
      <c r="A918" s="24"/>
      <c r="B918" s="7"/>
      <c r="C918" s="24"/>
      <c r="D918" s="24"/>
      <c r="E918" s="25"/>
      <c r="F918" s="24"/>
    </row>
    <row r="919">
      <c r="A919" s="24"/>
      <c r="B919" s="7"/>
      <c r="C919" s="24"/>
      <c r="D919" s="24"/>
      <c r="E919" s="25"/>
      <c r="F919" s="24"/>
    </row>
    <row r="920">
      <c r="A920" s="24"/>
      <c r="B920" s="7"/>
      <c r="C920" s="24"/>
      <c r="D920" s="24"/>
      <c r="E920" s="25"/>
      <c r="F920" s="24"/>
    </row>
    <row r="921">
      <c r="A921" s="24"/>
      <c r="B921" s="7"/>
      <c r="C921" s="24"/>
      <c r="D921" s="24"/>
      <c r="E921" s="25"/>
      <c r="F921" s="24"/>
    </row>
    <row r="922">
      <c r="A922" s="24"/>
      <c r="B922" s="7"/>
      <c r="C922" s="24"/>
      <c r="D922" s="24"/>
      <c r="E922" s="25"/>
      <c r="F922" s="24"/>
    </row>
    <row r="923">
      <c r="A923" s="24"/>
      <c r="B923" s="7"/>
      <c r="C923" s="24"/>
      <c r="D923" s="24"/>
      <c r="E923" s="25"/>
      <c r="F923" s="24"/>
    </row>
    <row r="924">
      <c r="A924" s="24"/>
      <c r="B924" s="7"/>
      <c r="C924" s="24"/>
      <c r="D924" s="24"/>
      <c r="E924" s="25"/>
      <c r="F924" s="24"/>
    </row>
    <row r="925">
      <c r="A925" s="24"/>
      <c r="B925" s="7"/>
      <c r="C925" s="24"/>
      <c r="D925" s="24"/>
      <c r="E925" s="25"/>
      <c r="F925" s="24"/>
    </row>
    <row r="926">
      <c r="A926" s="24"/>
      <c r="B926" s="7"/>
      <c r="C926" s="24"/>
      <c r="D926" s="24"/>
      <c r="E926" s="25"/>
      <c r="F926" s="24"/>
    </row>
    <row r="927">
      <c r="A927" s="24"/>
      <c r="B927" s="7"/>
      <c r="C927" s="24"/>
      <c r="D927" s="24"/>
      <c r="E927" s="25"/>
      <c r="F927" s="24"/>
    </row>
    <row r="928">
      <c r="A928" s="24"/>
      <c r="B928" s="7"/>
      <c r="C928" s="24"/>
      <c r="D928" s="24"/>
      <c r="E928" s="25"/>
      <c r="F928" s="24"/>
    </row>
    <row r="929">
      <c r="A929" s="24"/>
      <c r="B929" s="7"/>
      <c r="C929" s="24"/>
      <c r="D929" s="24"/>
      <c r="E929" s="25"/>
      <c r="F929" s="24"/>
    </row>
    <row r="930">
      <c r="A930" s="24"/>
      <c r="B930" s="7"/>
      <c r="C930" s="24"/>
      <c r="D930" s="24"/>
      <c r="E930" s="25"/>
      <c r="F930" s="24"/>
    </row>
    <row r="931">
      <c r="A931" s="24"/>
      <c r="B931" s="7"/>
      <c r="C931" s="24"/>
      <c r="D931" s="24"/>
      <c r="E931" s="25"/>
      <c r="F931" s="24"/>
    </row>
    <row r="932">
      <c r="A932" s="24"/>
      <c r="B932" s="7"/>
      <c r="C932" s="24"/>
      <c r="D932" s="24"/>
      <c r="E932" s="25"/>
      <c r="F932" s="24"/>
    </row>
    <row r="933">
      <c r="A933" s="24"/>
      <c r="B933" s="7"/>
      <c r="C933" s="24"/>
      <c r="D933" s="24"/>
      <c r="E933" s="25"/>
      <c r="F933" s="24"/>
    </row>
    <row r="934">
      <c r="A934" s="24"/>
      <c r="B934" s="7"/>
      <c r="C934" s="24"/>
      <c r="D934" s="24"/>
      <c r="E934" s="25"/>
      <c r="F934" s="24"/>
    </row>
    <row r="935">
      <c r="A935" s="24"/>
      <c r="B935" s="7"/>
      <c r="C935" s="24"/>
      <c r="D935" s="24"/>
      <c r="E935" s="25"/>
      <c r="F935" s="24"/>
    </row>
    <row r="936">
      <c r="A936" s="24"/>
      <c r="B936" s="7"/>
      <c r="C936" s="24"/>
      <c r="D936" s="24"/>
      <c r="E936" s="25"/>
      <c r="F936" s="24"/>
    </row>
    <row r="937">
      <c r="A937" s="24"/>
      <c r="B937" s="7"/>
      <c r="C937" s="24"/>
      <c r="D937" s="24"/>
      <c r="E937" s="25"/>
      <c r="F937" s="24"/>
    </row>
    <row r="938">
      <c r="A938" s="24"/>
      <c r="B938" s="7"/>
      <c r="C938" s="24"/>
      <c r="D938" s="24"/>
      <c r="E938" s="25"/>
      <c r="F938" s="24"/>
    </row>
    <row r="939">
      <c r="A939" s="24"/>
      <c r="B939" s="7"/>
      <c r="C939" s="24"/>
      <c r="D939" s="24"/>
      <c r="E939" s="25"/>
      <c r="F939" s="24"/>
    </row>
    <row r="940">
      <c r="A940" s="24"/>
      <c r="B940" s="7"/>
      <c r="C940" s="24"/>
      <c r="D940" s="24"/>
      <c r="E940" s="25"/>
      <c r="F940" s="24"/>
    </row>
    <row r="941">
      <c r="A941" s="24"/>
      <c r="B941" s="7"/>
      <c r="C941" s="24"/>
      <c r="D941" s="24"/>
      <c r="E941" s="25"/>
      <c r="F941" s="24"/>
    </row>
    <row r="942">
      <c r="A942" s="24"/>
      <c r="B942" s="7"/>
      <c r="C942" s="24"/>
      <c r="D942" s="24"/>
      <c r="E942" s="25"/>
      <c r="F942" s="24"/>
    </row>
    <row r="943">
      <c r="A943" s="24"/>
      <c r="B943" s="7"/>
      <c r="C943" s="24"/>
      <c r="D943" s="24"/>
      <c r="E943" s="25"/>
      <c r="F943" s="24"/>
    </row>
    <row r="944">
      <c r="A944" s="24"/>
      <c r="B944" s="7"/>
      <c r="C944" s="24"/>
      <c r="D944" s="24"/>
      <c r="E944" s="25"/>
      <c r="F944" s="24"/>
    </row>
    <row r="945">
      <c r="A945" s="24"/>
      <c r="B945" s="7"/>
      <c r="C945" s="24"/>
      <c r="D945" s="24"/>
      <c r="E945" s="25"/>
      <c r="F945" s="24"/>
    </row>
    <row r="946">
      <c r="A946" s="24"/>
      <c r="B946" s="7"/>
      <c r="C946" s="24"/>
      <c r="D946" s="24"/>
      <c r="E946" s="25"/>
      <c r="F946" s="24"/>
    </row>
    <row r="947">
      <c r="A947" s="24"/>
      <c r="B947" s="7"/>
      <c r="C947" s="24"/>
      <c r="D947" s="24"/>
      <c r="E947" s="25"/>
      <c r="F947" s="24"/>
    </row>
    <row r="948">
      <c r="A948" s="24"/>
      <c r="B948" s="7"/>
      <c r="C948" s="24"/>
      <c r="D948" s="24"/>
      <c r="E948" s="25"/>
      <c r="F948" s="24"/>
    </row>
    <row r="949">
      <c r="A949" s="24"/>
      <c r="B949" s="7"/>
      <c r="C949" s="24"/>
      <c r="D949" s="24"/>
      <c r="E949" s="25"/>
      <c r="F949" s="24"/>
    </row>
    <row r="950">
      <c r="A950" s="24"/>
      <c r="B950" s="7"/>
      <c r="C950" s="24"/>
      <c r="D950" s="24"/>
      <c r="E950" s="25"/>
      <c r="F950" s="24"/>
    </row>
    <row r="951">
      <c r="A951" s="24"/>
      <c r="B951" s="7"/>
      <c r="C951" s="24"/>
      <c r="D951" s="24"/>
      <c r="E951" s="25"/>
      <c r="F951" s="24"/>
    </row>
    <row r="952">
      <c r="A952" s="24"/>
      <c r="B952" s="7"/>
      <c r="C952" s="24"/>
      <c r="D952" s="24"/>
      <c r="E952" s="25"/>
      <c r="F952" s="24"/>
    </row>
    <row r="953">
      <c r="A953" s="24"/>
      <c r="B953" s="7"/>
      <c r="C953" s="24"/>
      <c r="D953" s="24"/>
      <c r="E953" s="25"/>
      <c r="F953" s="24"/>
    </row>
    <row r="954">
      <c r="A954" s="24"/>
      <c r="B954" s="7"/>
      <c r="C954" s="24"/>
      <c r="D954" s="24"/>
      <c r="E954" s="25"/>
      <c r="F954" s="24"/>
    </row>
    <row r="955">
      <c r="A955" s="24"/>
      <c r="B955" s="7"/>
      <c r="C955" s="24"/>
      <c r="D955" s="24"/>
      <c r="E955" s="25"/>
      <c r="F955" s="24"/>
    </row>
    <row r="956">
      <c r="A956" s="24"/>
      <c r="B956" s="7"/>
      <c r="C956" s="24"/>
      <c r="D956" s="24"/>
      <c r="E956" s="25"/>
      <c r="F956" s="24"/>
    </row>
    <row r="957">
      <c r="A957" s="24"/>
      <c r="B957" s="7"/>
      <c r="C957" s="24"/>
      <c r="D957" s="24"/>
      <c r="E957" s="25"/>
      <c r="F957" s="24"/>
    </row>
    <row r="958">
      <c r="A958" s="24"/>
      <c r="B958" s="7"/>
      <c r="C958" s="24"/>
      <c r="D958" s="24"/>
      <c r="E958" s="25"/>
      <c r="F958" s="24"/>
    </row>
    <row r="959">
      <c r="A959" s="24"/>
      <c r="B959" s="7"/>
      <c r="C959" s="24"/>
      <c r="D959" s="24"/>
      <c r="E959" s="25"/>
      <c r="F959" s="24"/>
    </row>
    <row r="960">
      <c r="A960" s="24"/>
      <c r="B960" s="7"/>
      <c r="C960" s="24"/>
      <c r="D960" s="24"/>
      <c r="E960" s="25"/>
      <c r="F960" s="24"/>
    </row>
    <row r="961">
      <c r="A961" s="24"/>
      <c r="B961" s="7"/>
      <c r="C961" s="24"/>
      <c r="D961" s="24"/>
      <c r="E961" s="25"/>
      <c r="F961" s="24"/>
    </row>
    <row r="962">
      <c r="A962" s="24"/>
      <c r="B962" s="7"/>
      <c r="C962" s="24"/>
      <c r="D962" s="24"/>
      <c r="E962" s="25"/>
      <c r="F962" s="24"/>
    </row>
    <row r="963">
      <c r="A963" s="24"/>
      <c r="B963" s="7"/>
      <c r="C963" s="24"/>
      <c r="D963" s="24"/>
      <c r="E963" s="25"/>
      <c r="F963" s="24"/>
    </row>
    <row r="964">
      <c r="A964" s="24"/>
      <c r="B964" s="7"/>
      <c r="C964" s="24"/>
      <c r="D964" s="24"/>
      <c r="E964" s="25"/>
      <c r="F964" s="24"/>
    </row>
    <row r="965">
      <c r="A965" s="24"/>
      <c r="B965" s="7"/>
      <c r="C965" s="24"/>
      <c r="D965" s="24"/>
      <c r="E965" s="25"/>
      <c r="F965" s="24"/>
    </row>
    <row r="966">
      <c r="A966" s="24"/>
      <c r="B966" s="7"/>
      <c r="C966" s="24"/>
      <c r="D966" s="24"/>
      <c r="E966" s="25"/>
      <c r="F966" s="24"/>
    </row>
    <row r="967">
      <c r="A967" s="24"/>
      <c r="B967" s="7"/>
      <c r="C967" s="24"/>
      <c r="D967" s="24"/>
      <c r="E967" s="25"/>
      <c r="F967" s="24"/>
    </row>
    <row r="968">
      <c r="A968" s="24"/>
      <c r="B968" s="7"/>
      <c r="C968" s="24"/>
      <c r="D968" s="24"/>
      <c r="E968" s="25"/>
      <c r="F968" s="24"/>
    </row>
    <row r="969">
      <c r="A969" s="24"/>
      <c r="B969" s="7"/>
      <c r="C969" s="24"/>
      <c r="D969" s="24"/>
      <c r="E969" s="25"/>
      <c r="F969" s="24"/>
    </row>
    <row r="970">
      <c r="A970" s="24"/>
      <c r="B970" s="7"/>
      <c r="C970" s="24"/>
      <c r="D970" s="24"/>
      <c r="E970" s="25"/>
      <c r="F970" s="24"/>
    </row>
    <row r="971">
      <c r="A971" s="24"/>
      <c r="B971" s="7"/>
      <c r="C971" s="24"/>
      <c r="D971" s="24"/>
      <c r="E971" s="25"/>
      <c r="F971" s="24"/>
    </row>
    <row r="972">
      <c r="A972" s="24"/>
      <c r="B972" s="7"/>
      <c r="C972" s="24"/>
      <c r="D972" s="24"/>
      <c r="E972" s="25"/>
      <c r="F972" s="24"/>
    </row>
    <row r="973">
      <c r="A973" s="24"/>
      <c r="B973" s="7"/>
      <c r="C973" s="24"/>
      <c r="D973" s="24"/>
      <c r="E973" s="25"/>
      <c r="F973" s="24"/>
    </row>
    <row r="974">
      <c r="A974" s="24"/>
      <c r="B974" s="7"/>
      <c r="C974" s="24"/>
      <c r="D974" s="24"/>
      <c r="E974" s="25"/>
      <c r="F974" s="24"/>
    </row>
    <row r="975">
      <c r="A975" s="24"/>
      <c r="B975" s="7"/>
      <c r="C975" s="24"/>
      <c r="D975" s="24"/>
      <c r="E975" s="25"/>
      <c r="F975" s="24"/>
    </row>
    <row r="976">
      <c r="A976" s="24"/>
      <c r="B976" s="7"/>
      <c r="C976" s="24"/>
      <c r="D976" s="24"/>
      <c r="E976" s="25"/>
      <c r="F976" s="24"/>
    </row>
    <row r="977">
      <c r="A977" s="24"/>
      <c r="B977" s="7"/>
      <c r="C977" s="24"/>
      <c r="D977" s="24"/>
      <c r="E977" s="25"/>
      <c r="F977" s="24"/>
    </row>
    <row r="978">
      <c r="A978" s="24"/>
      <c r="B978" s="7"/>
      <c r="C978" s="24"/>
      <c r="D978" s="24"/>
      <c r="E978" s="25"/>
      <c r="F978" s="24"/>
    </row>
    <row r="979">
      <c r="A979" s="24"/>
      <c r="B979" s="7"/>
      <c r="C979" s="24"/>
      <c r="D979" s="24"/>
      <c r="E979" s="25"/>
      <c r="F979" s="24"/>
    </row>
    <row r="980">
      <c r="A980" s="24"/>
      <c r="B980" s="7"/>
      <c r="C980" s="24"/>
      <c r="D980" s="24"/>
      <c r="E980" s="25"/>
      <c r="F980" s="24"/>
    </row>
    <row r="981">
      <c r="A981" s="24"/>
      <c r="B981" s="7"/>
      <c r="C981" s="24"/>
      <c r="D981" s="24"/>
      <c r="E981" s="25"/>
      <c r="F981" s="24"/>
    </row>
    <row r="982">
      <c r="A982" s="24"/>
      <c r="B982" s="7"/>
      <c r="C982" s="24"/>
      <c r="D982" s="24"/>
      <c r="E982" s="25"/>
      <c r="F982" s="24"/>
    </row>
    <row r="983">
      <c r="A983" s="24"/>
      <c r="B983" s="7"/>
      <c r="C983" s="24"/>
      <c r="D983" s="24"/>
      <c r="E983" s="25"/>
      <c r="F983" s="24"/>
    </row>
    <row r="984">
      <c r="A984" s="24"/>
      <c r="B984" s="7"/>
      <c r="C984" s="24"/>
      <c r="D984" s="24"/>
      <c r="E984" s="25"/>
      <c r="F984" s="24"/>
    </row>
    <row r="985">
      <c r="A985" s="24"/>
      <c r="B985" s="7"/>
      <c r="C985" s="24"/>
      <c r="D985" s="24"/>
      <c r="E985" s="25"/>
      <c r="F985" s="24"/>
    </row>
    <row r="986">
      <c r="A986" s="24"/>
      <c r="B986" s="7"/>
      <c r="C986" s="24"/>
      <c r="D986" s="24"/>
      <c r="E986" s="25"/>
      <c r="F986" s="24"/>
    </row>
    <row r="987">
      <c r="A987" s="24"/>
      <c r="B987" s="7"/>
      <c r="C987" s="24"/>
      <c r="D987" s="24"/>
      <c r="E987" s="25"/>
      <c r="F987" s="24"/>
    </row>
    <row r="988">
      <c r="A988" s="24"/>
      <c r="B988" s="7"/>
      <c r="C988" s="24"/>
      <c r="D988" s="24"/>
      <c r="E988" s="25"/>
      <c r="F988" s="24"/>
    </row>
    <row r="989">
      <c r="A989" s="24"/>
      <c r="B989" s="7"/>
      <c r="C989" s="24"/>
      <c r="D989" s="24"/>
      <c r="E989" s="25"/>
      <c r="F989" s="24"/>
    </row>
    <row r="990">
      <c r="A990" s="24"/>
      <c r="B990" s="7"/>
      <c r="C990" s="24"/>
      <c r="D990" s="24"/>
      <c r="E990" s="25"/>
      <c r="F990" s="24"/>
    </row>
    <row r="991">
      <c r="A991" s="24"/>
      <c r="B991" s="7"/>
      <c r="C991" s="24"/>
      <c r="D991" s="24"/>
      <c r="E991" s="25"/>
      <c r="F991" s="24"/>
    </row>
    <row r="992">
      <c r="A992" s="24"/>
      <c r="B992" s="7"/>
      <c r="C992" s="24"/>
      <c r="D992" s="24"/>
      <c r="E992" s="25"/>
      <c r="F992" s="24"/>
    </row>
    <row r="993">
      <c r="A993" s="24"/>
      <c r="B993" s="7"/>
      <c r="C993" s="24"/>
      <c r="D993" s="24"/>
      <c r="E993" s="25"/>
      <c r="F993" s="24"/>
    </row>
    <row r="994">
      <c r="A994" s="24"/>
      <c r="B994" s="7"/>
      <c r="C994" s="24"/>
      <c r="D994" s="24"/>
      <c r="E994" s="25"/>
      <c r="F994" s="24"/>
    </row>
    <row r="995">
      <c r="A995" s="24"/>
      <c r="B995" s="7"/>
      <c r="C995" s="24"/>
      <c r="D995" s="24"/>
      <c r="E995" s="25"/>
      <c r="F995" s="24"/>
    </row>
    <row r="996">
      <c r="A996" s="24"/>
      <c r="B996" s="7"/>
      <c r="C996" s="24"/>
      <c r="D996" s="24"/>
      <c r="E996" s="25"/>
      <c r="F996" s="24"/>
    </row>
    <row r="997">
      <c r="A997" s="24"/>
      <c r="B997" s="7"/>
      <c r="C997" s="24"/>
      <c r="D997" s="24"/>
      <c r="E997" s="25"/>
      <c r="F997" s="24"/>
    </row>
    <row r="998">
      <c r="A998" s="24"/>
      <c r="B998" s="7"/>
      <c r="C998" s="24"/>
      <c r="D998" s="24"/>
      <c r="E998" s="25"/>
      <c r="F998" s="24"/>
    </row>
    <row r="999">
      <c r="A999" s="24"/>
      <c r="B999" s="7"/>
      <c r="C999" s="24"/>
      <c r="D999" s="24"/>
      <c r="E999" s="25"/>
      <c r="F999" s="24"/>
    </row>
    <row r="1000">
      <c r="A1000" s="24"/>
      <c r="B1000" s="7"/>
      <c r="C1000" s="24"/>
      <c r="D1000" s="24"/>
      <c r="E1000" s="25"/>
      <c r="F1000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  <col customWidth="1" hidden="1" min="2" max="2" width="19.25"/>
    <col customWidth="1" min="3" max="5" width="27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s="17"/>
      <c r="B117" s="18"/>
    </row>
    <row r="118">
      <c r="A118" s="17"/>
      <c r="B118" s="18"/>
    </row>
    <row r="119">
      <c r="A119" s="17"/>
      <c r="B119" s="18"/>
    </row>
    <row r="120">
      <c r="A120" s="17"/>
      <c r="B120" s="18"/>
    </row>
    <row r="121">
      <c r="A121" s="17"/>
      <c r="B121" s="18"/>
    </row>
    <row r="122">
      <c r="A122" s="17"/>
      <c r="B122" s="18">
        <f>SUMIF(Rhea!D2:D1000,A122,Rhea!E:E)</f>
        <v>0</v>
      </c>
    </row>
    <row r="123">
      <c r="A123" s="17"/>
      <c r="B123" s="18">
        <f>SUMIF(Rhea!D3:D1000,A123,Rhea!E:E)</f>
        <v>0</v>
      </c>
    </row>
    <row r="124">
      <c r="A124" s="17"/>
      <c r="B124" s="18">
        <f>SUMIF(Rhea!D4:D1000,A124,Rhea!E:E)</f>
        <v>0</v>
      </c>
    </row>
    <row r="125">
      <c r="A125" s="17"/>
      <c r="B125" s="18">
        <f>SUMIF(Rhea!D5:D1000,A125,Rhea!E:E)</f>
        <v>0</v>
      </c>
    </row>
    <row r="126">
      <c r="A126" s="17"/>
      <c r="B126" s="18">
        <f>SUMIF(Rhea!D6:D1000,A126,Rhea!E:E)</f>
        <v>0</v>
      </c>
    </row>
    <row r="127">
      <c r="A127" s="17"/>
      <c r="B127" s="18">
        <f>SUMIF(Rhea!D7:D1000,A127,Rhea!E:E)</f>
        <v>0</v>
      </c>
    </row>
    <row r="128">
      <c r="A128" s="17"/>
      <c r="B128" s="18">
        <f>SUMIF(Rhea!D8:D1000,A128,Rhea!E:E)</f>
        <v>0</v>
      </c>
    </row>
    <row r="129">
      <c r="A129" s="17"/>
      <c r="B129" s="18">
        <f>SUMIF(Rhea!D9:D1000,A129,Rhea!E:E)</f>
        <v>0</v>
      </c>
    </row>
    <row r="130">
      <c r="A130" s="17"/>
      <c r="B130" s="18">
        <f>SUMIF(Rhea!D10:D1000,A130,Rhea!E:E)</f>
        <v>0</v>
      </c>
    </row>
    <row r="131">
      <c r="A131" s="17"/>
      <c r="B131" s="18">
        <f>SUMIF(Rhea!D11:D1000,A131,Rhea!E:E)</f>
        <v>0</v>
      </c>
    </row>
    <row r="132">
      <c r="A132" s="17"/>
      <c r="B132" s="18">
        <f>SUMIF(Rhea!D12:D1000,A132,Rhea!E:E)</f>
        <v>0</v>
      </c>
    </row>
    <row r="133">
      <c r="A133" s="17"/>
      <c r="B133" s="18">
        <f>SUMIF(Rhea!D13:D1000,A133,Rhea!E:E)</f>
        <v>0</v>
      </c>
    </row>
    <row r="134">
      <c r="A134" s="17"/>
      <c r="B134" s="18">
        <f>SUMIF(Rhea!D14:D1000,A134,Rhea!E:E)</f>
        <v>0</v>
      </c>
    </row>
    <row r="135">
      <c r="A135" s="17"/>
      <c r="B135" s="18">
        <f>SUMIF(Rhea!D15:D1000,A135,Rhea!E:E)</f>
        <v>0</v>
      </c>
    </row>
    <row r="136">
      <c r="A136" s="17"/>
      <c r="B136" s="18">
        <f>SUMIF(Rhea!D16:D1000,A136,Rhea!E:E)</f>
        <v>0</v>
      </c>
    </row>
    <row r="137">
      <c r="A137" s="17"/>
      <c r="B137" s="18">
        <f>SUMIF(Rhea!D17:D1000,A137,Rhea!E:E)</f>
        <v>0</v>
      </c>
    </row>
    <row r="138">
      <c r="A138" s="17"/>
      <c r="B138" s="18">
        <f>SUMIF(Rhea!D18:D1000,A138,Rhea!E:E)</f>
        <v>0</v>
      </c>
    </row>
    <row r="139">
      <c r="A139" s="17"/>
      <c r="B139" s="18">
        <f>SUMIF(Rhea!D19:D1000,A139,Rhea!E:E)</f>
        <v>0</v>
      </c>
    </row>
    <row r="140">
      <c r="A140" s="17"/>
      <c r="B140" s="18">
        <f>SUMIF(Rhea!D20:D1000,A140,Rhea!E:E)</f>
        <v>0</v>
      </c>
    </row>
    <row r="141">
      <c r="A141" s="17"/>
      <c r="B141" s="18">
        <f>SUMIF(Rhea!D21:D1000,A141,Rhea!E:E)</f>
        <v>0</v>
      </c>
    </row>
    <row r="142">
      <c r="A142" s="17"/>
      <c r="B142" s="18">
        <f>SUMIF(Rhea!D22:D1000,A142,Rhea!E:E)</f>
        <v>0</v>
      </c>
    </row>
    <row r="143">
      <c r="A143" s="17"/>
      <c r="B143" s="18">
        <f>SUMIF(Rhea!D23:D1000,A143,Rhea!E:E)</f>
        <v>0</v>
      </c>
    </row>
    <row r="144">
      <c r="A144" s="17"/>
      <c r="B144" s="18">
        <f>SUMIF(Rhea!D24:D1000,A144,Rhea!E:E)</f>
        <v>0</v>
      </c>
    </row>
    <row r="145">
      <c r="A145" s="17"/>
      <c r="B145" s="18">
        <f>SUMIF(Rhea!D25:D1000,A145,Rhea!E:E)</f>
        <v>0</v>
      </c>
    </row>
    <row r="146">
      <c r="A146" s="17"/>
      <c r="B146" s="18">
        <f>SUMIF(Rhea!D26:D1000,A146,Rhea!E:E)</f>
        <v>0</v>
      </c>
    </row>
    <row r="147">
      <c r="A147" s="17"/>
      <c r="B147" s="18">
        <f>SUMIF(Rhea!D27:D1000,A147,Rhea!E:E)</f>
        <v>0</v>
      </c>
    </row>
    <row r="148">
      <c r="A148" s="17"/>
      <c r="B148" s="18">
        <f>SUMIF(Rhea!D28:D1000,A148,Rhea!E:E)</f>
        <v>0</v>
      </c>
    </row>
    <row r="149">
      <c r="A149" s="17"/>
      <c r="B149" s="18">
        <f>SUMIF(Rhea!D29:D1000,A149,Rhea!E:E)</f>
        <v>0</v>
      </c>
    </row>
    <row r="150">
      <c r="A150" s="17"/>
      <c r="B150" s="18">
        <f>SUMIF(Rhea!D30:D1000,A150,Rhea!E:E)</f>
        <v>0</v>
      </c>
    </row>
    <row r="151">
      <c r="A151" s="17"/>
      <c r="B151" s="18">
        <f>SUMIF(Rhea!D31:D1000,A151,Rhea!E:E)</f>
        <v>0</v>
      </c>
    </row>
    <row r="152">
      <c r="A152" s="17"/>
      <c r="B152" s="18">
        <f>SUMIF(Rhea!D32:D1000,A152,Rhea!E:E)</f>
        <v>0</v>
      </c>
    </row>
    <row r="153">
      <c r="A153" s="17"/>
      <c r="B153" s="18">
        <f>SUMIF(Rhea!D33:D1000,A153,Rhea!E:E)</f>
        <v>0</v>
      </c>
    </row>
    <row r="154">
      <c r="A154" s="17"/>
      <c r="B154" s="18">
        <f>SUMIF(Rhea!D34:D1000,A154,Rhea!E:E)</f>
        <v>0</v>
      </c>
    </row>
    <row r="155">
      <c r="A155" s="17"/>
      <c r="B155" s="18">
        <f>SUMIF(Rhea!D35:D1000,A155,Rhea!E:E)</f>
        <v>0</v>
      </c>
    </row>
    <row r="156">
      <c r="A156" s="17"/>
      <c r="B156" s="18">
        <f>SUMIF(Rhea!D36:D1000,A156,Rhea!E:E)</f>
        <v>0</v>
      </c>
    </row>
    <row r="157">
      <c r="A157" s="17"/>
      <c r="B157" s="18">
        <f>SUMIF(Rhea!D37:D1000,A157,Rhea!E:E)</f>
        <v>0</v>
      </c>
    </row>
    <row r="158">
      <c r="A158" s="17"/>
      <c r="B158" s="18"/>
    </row>
    <row r="159">
      <c r="A159" s="17"/>
      <c r="B159" s="18"/>
    </row>
    <row r="160">
      <c r="A160" s="17"/>
      <c r="B160" s="18"/>
    </row>
    <row r="161">
      <c r="A161" s="17"/>
      <c r="B161" s="18"/>
    </row>
    <row r="162">
      <c r="A162" s="17"/>
      <c r="B162" s="18"/>
    </row>
    <row r="163">
      <c r="A163" s="17"/>
      <c r="B163" s="18"/>
    </row>
    <row r="164">
      <c r="A164" s="17"/>
      <c r="B164" s="18"/>
    </row>
    <row r="165">
      <c r="A165" s="17"/>
      <c r="B165" s="18"/>
    </row>
    <row r="166">
      <c r="A166" s="17"/>
      <c r="B166" s="18"/>
    </row>
    <row r="167">
      <c r="A167" s="17"/>
      <c r="B167" s="18"/>
    </row>
    <row r="168">
      <c r="A168" s="17"/>
      <c r="B168" s="18"/>
    </row>
    <row r="169">
      <c r="A169" s="17"/>
      <c r="B169" s="18"/>
    </row>
    <row r="170">
      <c r="A170" s="17"/>
      <c r="B170" s="18"/>
    </row>
    <row r="171">
      <c r="A171" s="17"/>
      <c r="B171" s="18"/>
    </row>
    <row r="172">
      <c r="A172" s="17"/>
      <c r="B172" s="18"/>
    </row>
    <row r="173">
      <c r="A173" s="17"/>
      <c r="B173" s="18"/>
    </row>
    <row r="174">
      <c r="A174" s="17"/>
      <c r="B174" s="18"/>
    </row>
    <row r="175">
      <c r="A175" s="17"/>
      <c r="B175" s="18"/>
    </row>
    <row r="176">
      <c r="A176" s="17"/>
      <c r="B176" s="18"/>
    </row>
    <row r="177">
      <c r="A177" s="17"/>
      <c r="B177" s="18"/>
    </row>
    <row r="178">
      <c r="A178" s="17"/>
      <c r="B178" s="18"/>
    </row>
    <row r="179">
      <c r="A179" s="17"/>
      <c r="B179" s="18"/>
    </row>
    <row r="180">
      <c r="A180" s="17"/>
      <c r="B180" s="18"/>
    </row>
    <row r="181">
      <c r="A181" s="17"/>
      <c r="B181" s="18"/>
    </row>
    <row r="182">
      <c r="A182" s="17"/>
      <c r="B182" s="18"/>
    </row>
    <row r="183">
      <c r="A183" s="17"/>
      <c r="B183" s="18"/>
    </row>
    <row r="184">
      <c r="A184" s="17"/>
      <c r="B184" s="18"/>
    </row>
    <row r="185">
      <c r="A185" s="17"/>
      <c r="B185" s="18"/>
    </row>
    <row r="186">
      <c r="A186" s="17"/>
      <c r="B186" s="18"/>
    </row>
    <row r="187">
      <c r="A187" s="17"/>
      <c r="B187" s="18"/>
    </row>
    <row r="188">
      <c r="A188" s="17"/>
      <c r="B188" s="18"/>
    </row>
    <row r="189">
      <c r="A189" s="17"/>
      <c r="B189" s="18"/>
    </row>
    <row r="190">
      <c r="A190" s="17"/>
      <c r="B190" s="18"/>
    </row>
    <row r="191">
      <c r="A191" s="17"/>
      <c r="B191" s="18"/>
    </row>
    <row r="192">
      <c r="A192" s="17"/>
      <c r="B192" s="18"/>
    </row>
    <row r="193">
      <c r="A193" s="17"/>
      <c r="B193" s="18"/>
    </row>
    <row r="194">
      <c r="A194" s="17"/>
      <c r="B194" s="18"/>
    </row>
    <row r="195">
      <c r="A195" s="17"/>
      <c r="B195" s="18"/>
    </row>
    <row r="196">
      <c r="A196" s="17"/>
      <c r="B196" s="18"/>
    </row>
    <row r="197">
      <c r="A197" s="17"/>
      <c r="B197" s="18"/>
    </row>
    <row r="198">
      <c r="A198" s="17"/>
      <c r="B198" s="18"/>
    </row>
    <row r="199">
      <c r="A199" s="17"/>
      <c r="B199" s="18"/>
    </row>
    <row r="200">
      <c r="A200" s="17"/>
      <c r="B200" s="18"/>
    </row>
    <row r="201">
      <c r="A201" s="17"/>
      <c r="B201" s="18"/>
    </row>
    <row r="202">
      <c r="A202" s="36"/>
      <c r="B202" s="37"/>
    </row>
    <row r="203">
      <c r="A203" s="36"/>
      <c r="B203" s="37"/>
    </row>
    <row r="204">
      <c r="A204" s="36"/>
      <c r="B204" s="37"/>
    </row>
    <row r="205">
      <c r="A205" s="36"/>
      <c r="B205" s="37"/>
    </row>
    <row r="206">
      <c r="A206" s="36"/>
      <c r="B206" s="37"/>
    </row>
    <row r="207">
      <c r="A207" s="36"/>
      <c r="B207" s="37"/>
    </row>
    <row r="208">
      <c r="A208" s="36"/>
      <c r="B208" s="37"/>
    </row>
    <row r="209">
      <c r="A209" s="36"/>
      <c r="B209" s="37"/>
    </row>
    <row r="210">
      <c r="A210" s="36"/>
      <c r="B210" s="37"/>
    </row>
    <row r="211">
      <c r="A211" s="36"/>
      <c r="B211" s="37"/>
    </row>
    <row r="212">
      <c r="A212" s="36"/>
      <c r="B212" s="37"/>
    </row>
    <row r="213">
      <c r="A213" s="36"/>
      <c r="B213" s="37"/>
    </row>
    <row r="214">
      <c r="A214" s="36"/>
      <c r="B214" s="37"/>
    </row>
    <row r="215">
      <c r="A215" s="36"/>
      <c r="B215" s="37"/>
    </row>
    <row r="216">
      <c r="A216" s="36"/>
      <c r="B216" s="37"/>
    </row>
    <row r="217">
      <c r="A217" s="36"/>
      <c r="B217" s="37"/>
    </row>
    <row r="218">
      <c r="A218" s="36"/>
      <c r="B218" s="37"/>
    </row>
    <row r="219">
      <c r="A219" s="36"/>
      <c r="B219" s="37"/>
    </row>
    <row r="220">
      <c r="A220" s="36"/>
      <c r="B220" s="37"/>
    </row>
    <row r="221">
      <c r="A221" s="36"/>
      <c r="B221" s="37"/>
    </row>
    <row r="222">
      <c r="A222" s="36"/>
      <c r="B222" s="37"/>
    </row>
    <row r="223">
      <c r="A223" s="36"/>
      <c r="B223" s="37"/>
    </row>
    <row r="224">
      <c r="A224" s="36"/>
      <c r="B224" s="37"/>
    </row>
    <row r="225">
      <c r="A225" s="36"/>
      <c r="B225" s="37"/>
    </row>
    <row r="226">
      <c r="A226" s="36"/>
      <c r="B226" s="37"/>
    </row>
    <row r="227">
      <c r="A227" s="36"/>
      <c r="B227" s="37"/>
    </row>
    <row r="228">
      <c r="A228" s="36"/>
      <c r="B228" s="37"/>
    </row>
    <row r="229">
      <c r="A229" s="36"/>
      <c r="B229" s="37"/>
    </row>
    <row r="230">
      <c r="A230" s="36"/>
      <c r="B230" s="37"/>
    </row>
    <row r="231">
      <c r="A231" s="36"/>
      <c r="B231" s="37"/>
    </row>
    <row r="232">
      <c r="A232" s="36"/>
      <c r="B232" s="37"/>
    </row>
    <row r="233">
      <c r="A233" s="36"/>
      <c r="B233" s="37"/>
    </row>
    <row r="234">
      <c r="A234" s="36"/>
      <c r="B234" s="37"/>
    </row>
    <row r="235">
      <c r="A235" s="36"/>
      <c r="B235" s="37"/>
    </row>
    <row r="236">
      <c r="A236" s="36"/>
      <c r="B236" s="37"/>
    </row>
    <row r="237">
      <c r="A237" s="36"/>
      <c r="B237" s="37"/>
    </row>
    <row r="238">
      <c r="A238" s="36"/>
      <c r="B238" s="37"/>
    </row>
    <row r="239">
      <c r="A239" s="36"/>
      <c r="B239" s="37"/>
    </row>
    <row r="240">
      <c r="A240" s="36"/>
      <c r="B240" s="37"/>
    </row>
    <row r="241">
      <c r="A241" s="36"/>
      <c r="B241" s="37"/>
    </row>
    <row r="242">
      <c r="A242" s="36"/>
      <c r="B242" s="37"/>
    </row>
    <row r="243">
      <c r="A243" s="36"/>
      <c r="B243" s="37"/>
    </row>
    <row r="244">
      <c r="A244" s="36"/>
      <c r="B244" s="37"/>
    </row>
    <row r="245">
      <c r="A245" s="36"/>
      <c r="B245" s="37"/>
    </row>
    <row r="246">
      <c r="A246" s="36"/>
      <c r="B246" s="37"/>
    </row>
    <row r="247">
      <c r="A247" s="36"/>
      <c r="B247" s="37"/>
    </row>
    <row r="248">
      <c r="A248" s="36"/>
      <c r="B248" s="37"/>
    </row>
    <row r="249">
      <c r="A249" s="36"/>
      <c r="B249" s="37"/>
    </row>
    <row r="250">
      <c r="A250" s="36"/>
      <c r="B250" s="37"/>
    </row>
    <row r="251">
      <c r="A251" s="36"/>
      <c r="B251" s="37"/>
    </row>
    <row r="252">
      <c r="A252" s="36"/>
      <c r="B252" s="37"/>
    </row>
    <row r="253">
      <c r="A253" s="36"/>
      <c r="B253" s="37"/>
    </row>
    <row r="254">
      <c r="A254" s="36"/>
      <c r="B254" s="37"/>
    </row>
    <row r="255">
      <c r="A255" s="36"/>
      <c r="B255" s="37"/>
    </row>
    <row r="256">
      <c r="A256" s="36"/>
      <c r="B256" s="37"/>
    </row>
    <row r="257">
      <c r="A257" s="36"/>
      <c r="B257" s="37"/>
    </row>
    <row r="258">
      <c r="A258" s="36"/>
      <c r="B258" s="37"/>
    </row>
    <row r="259">
      <c r="A259" s="36"/>
      <c r="B259" s="37"/>
    </row>
    <row r="260">
      <c r="A260" s="36"/>
      <c r="B260" s="37"/>
    </row>
    <row r="261">
      <c r="A261" s="36"/>
      <c r="B261" s="37"/>
    </row>
    <row r="262">
      <c r="A262" s="36"/>
      <c r="B262" s="37"/>
    </row>
    <row r="263">
      <c r="A263" s="36"/>
      <c r="B263" s="37"/>
    </row>
    <row r="264">
      <c r="A264" s="36"/>
      <c r="B264" s="37"/>
    </row>
    <row r="265">
      <c r="A265" s="36"/>
      <c r="B265" s="37"/>
    </row>
    <row r="266">
      <c r="A266" s="36"/>
      <c r="B266" s="37"/>
    </row>
    <row r="267">
      <c r="A267" s="36"/>
      <c r="B267" s="37"/>
    </row>
    <row r="268">
      <c r="A268" s="36"/>
      <c r="B268" s="37"/>
    </row>
    <row r="269">
      <c r="A269" s="36"/>
      <c r="B269" s="37"/>
    </row>
    <row r="270">
      <c r="A270" s="36"/>
      <c r="B270" s="37"/>
    </row>
    <row r="271">
      <c r="A271" s="36"/>
      <c r="B271" s="37"/>
    </row>
    <row r="272">
      <c r="A272" s="36"/>
      <c r="B272" s="37"/>
    </row>
    <row r="273">
      <c r="A273" s="36"/>
      <c r="B273" s="37"/>
    </row>
    <row r="274">
      <c r="A274" s="36"/>
      <c r="B274" s="37"/>
    </row>
    <row r="275">
      <c r="A275" s="36"/>
      <c r="B275" s="37"/>
    </row>
    <row r="276">
      <c r="A276" s="36"/>
      <c r="B276" s="37"/>
    </row>
    <row r="277">
      <c r="A277" s="36"/>
      <c r="B277" s="37"/>
    </row>
    <row r="278">
      <c r="A278" s="36"/>
      <c r="B278" s="37"/>
    </row>
    <row r="279">
      <c r="A279" s="36"/>
      <c r="B279" s="37"/>
    </row>
    <row r="280">
      <c r="A280" s="36"/>
      <c r="B280" s="37"/>
    </row>
    <row r="281">
      <c r="A281" s="36"/>
      <c r="B281" s="37"/>
    </row>
    <row r="282">
      <c r="A282" s="36"/>
      <c r="B282" s="37"/>
    </row>
    <row r="283">
      <c r="A283" s="36"/>
      <c r="B283" s="37"/>
    </row>
    <row r="284">
      <c r="A284" s="36"/>
      <c r="B284" s="37"/>
    </row>
    <row r="285">
      <c r="A285" s="36"/>
      <c r="B285" s="37"/>
    </row>
    <row r="286">
      <c r="A286" s="36"/>
      <c r="B286" s="37"/>
    </row>
    <row r="287">
      <c r="A287" s="36"/>
      <c r="B287" s="37"/>
    </row>
    <row r="288">
      <c r="A288" s="36"/>
      <c r="B288" s="37"/>
    </row>
    <row r="289">
      <c r="A289" s="36"/>
      <c r="B289" s="37"/>
    </row>
    <row r="290">
      <c r="A290" s="36"/>
      <c r="B290" s="37"/>
    </row>
    <row r="291">
      <c r="A291" s="36"/>
      <c r="B291" s="37"/>
    </row>
    <row r="292">
      <c r="A292" s="36"/>
      <c r="B292" s="37"/>
    </row>
    <row r="293">
      <c r="A293" s="36"/>
      <c r="B293" s="37"/>
    </row>
    <row r="294">
      <c r="A294" s="36"/>
      <c r="B294" s="37"/>
    </row>
    <row r="295">
      <c r="A295" s="36"/>
      <c r="B295" s="37"/>
    </row>
    <row r="296">
      <c r="A296" s="36"/>
      <c r="B296" s="37"/>
    </row>
    <row r="297">
      <c r="A297" s="36"/>
      <c r="B297" s="37"/>
    </row>
    <row r="298">
      <c r="A298" s="36"/>
      <c r="B298" s="37"/>
    </row>
    <row r="299">
      <c r="A299" s="36"/>
      <c r="B299" s="37"/>
    </row>
    <row r="300">
      <c r="A300" s="36"/>
      <c r="B300" s="37"/>
    </row>
    <row r="301">
      <c r="A301" s="36"/>
      <c r="B301" s="37"/>
    </row>
    <row r="302">
      <c r="A302" s="36"/>
      <c r="B302" s="37"/>
    </row>
    <row r="303">
      <c r="A303" s="36"/>
      <c r="B303" s="37"/>
    </row>
    <row r="304">
      <c r="A304" s="36"/>
      <c r="B304" s="37"/>
    </row>
    <row r="305">
      <c r="A305" s="36"/>
      <c r="B305" s="37"/>
    </row>
    <row r="306">
      <c r="A306" s="36"/>
      <c r="B306" s="37"/>
    </row>
    <row r="307">
      <c r="A307" s="36"/>
      <c r="B307" s="37"/>
    </row>
    <row r="308">
      <c r="A308" s="36"/>
      <c r="B308" s="37"/>
    </row>
    <row r="309">
      <c r="A309" s="36"/>
      <c r="B309" s="37"/>
    </row>
    <row r="310">
      <c r="A310" s="36"/>
      <c r="B310" s="37"/>
    </row>
    <row r="311">
      <c r="A311" s="36"/>
      <c r="B311" s="37"/>
    </row>
    <row r="312">
      <c r="A312" s="36"/>
      <c r="B312" s="37"/>
    </row>
    <row r="313">
      <c r="A313" s="36"/>
      <c r="B313" s="37"/>
    </row>
    <row r="314">
      <c r="A314" s="36"/>
      <c r="B314" s="37"/>
    </row>
    <row r="315">
      <c r="A315" s="36"/>
      <c r="B315" s="37"/>
    </row>
    <row r="316">
      <c r="A316" s="36"/>
      <c r="B316" s="37"/>
    </row>
    <row r="317">
      <c r="A317" s="36"/>
      <c r="B317" s="37"/>
    </row>
    <row r="318">
      <c r="A318" s="36"/>
      <c r="B318" s="37"/>
    </row>
    <row r="319">
      <c r="A319" s="36"/>
      <c r="B319" s="37"/>
    </row>
    <row r="320">
      <c r="A320" s="36"/>
      <c r="B320" s="37"/>
    </row>
    <row r="321">
      <c r="A321" s="36"/>
      <c r="B321" s="37"/>
    </row>
    <row r="322">
      <c r="A322" s="36"/>
      <c r="B322" s="37"/>
    </row>
    <row r="323">
      <c r="A323" s="36"/>
      <c r="B323" s="37"/>
    </row>
    <row r="324">
      <c r="A324" s="36"/>
      <c r="B324" s="37"/>
    </row>
    <row r="325">
      <c r="A325" s="36"/>
      <c r="B325" s="37"/>
    </row>
    <row r="326">
      <c r="A326" s="36"/>
      <c r="B326" s="37"/>
    </row>
    <row r="327">
      <c r="A327" s="36"/>
      <c r="B327" s="37"/>
    </row>
    <row r="328">
      <c r="A328" s="36"/>
      <c r="B328" s="37"/>
    </row>
    <row r="329">
      <c r="A329" s="36"/>
      <c r="B329" s="37"/>
    </row>
    <row r="330">
      <c r="A330" s="36"/>
      <c r="B330" s="37"/>
    </row>
    <row r="331">
      <c r="A331" s="36"/>
      <c r="B331" s="37"/>
    </row>
    <row r="332">
      <c r="A332" s="36"/>
      <c r="B332" s="37"/>
    </row>
    <row r="333">
      <c r="A333" s="36"/>
      <c r="B333" s="37"/>
    </row>
    <row r="334">
      <c r="A334" s="36"/>
      <c r="B334" s="37"/>
    </row>
    <row r="335">
      <c r="A335" s="36"/>
      <c r="B335" s="37"/>
    </row>
    <row r="336">
      <c r="A336" s="36"/>
      <c r="B336" s="37"/>
    </row>
    <row r="337">
      <c r="A337" s="36"/>
      <c r="B337" s="37"/>
    </row>
    <row r="338">
      <c r="A338" s="36"/>
      <c r="B338" s="37"/>
    </row>
    <row r="339">
      <c r="A339" s="36"/>
      <c r="B339" s="37"/>
    </row>
    <row r="340">
      <c r="A340" s="36"/>
      <c r="B340" s="37"/>
    </row>
    <row r="341">
      <c r="A341" s="36"/>
      <c r="B341" s="37"/>
    </row>
    <row r="342">
      <c r="A342" s="36"/>
      <c r="B342" s="37"/>
    </row>
    <row r="343">
      <c r="A343" s="36"/>
      <c r="B343" s="37"/>
    </row>
    <row r="344">
      <c r="A344" s="36"/>
      <c r="B344" s="37"/>
    </row>
    <row r="345">
      <c r="A345" s="36"/>
      <c r="B345" s="37"/>
    </row>
    <row r="346">
      <c r="A346" s="36"/>
      <c r="B346" s="37"/>
    </row>
    <row r="347">
      <c r="A347" s="36"/>
      <c r="B347" s="37"/>
    </row>
    <row r="348">
      <c r="A348" s="36"/>
      <c r="B348" s="37"/>
    </row>
    <row r="349">
      <c r="A349" s="36"/>
      <c r="B349" s="37"/>
    </row>
    <row r="350">
      <c r="A350" s="36"/>
      <c r="B350" s="37"/>
    </row>
    <row r="351">
      <c r="A351" s="36"/>
      <c r="B351" s="37"/>
    </row>
    <row r="352">
      <c r="A352" s="36"/>
      <c r="B352" s="37"/>
    </row>
    <row r="353">
      <c r="A353" s="36"/>
      <c r="B353" s="37"/>
    </row>
    <row r="354">
      <c r="A354" s="36"/>
      <c r="B354" s="37"/>
    </row>
    <row r="355">
      <c r="A355" s="36"/>
      <c r="B355" s="37"/>
    </row>
    <row r="356">
      <c r="A356" s="36"/>
      <c r="B356" s="37"/>
    </row>
    <row r="357">
      <c r="A357" s="36"/>
      <c r="B357" s="37"/>
    </row>
    <row r="358">
      <c r="A358" s="36"/>
      <c r="B358" s="37"/>
    </row>
    <row r="359">
      <c r="A359" s="36"/>
      <c r="B359" s="37"/>
    </row>
    <row r="360">
      <c r="A360" s="36"/>
      <c r="B360" s="37"/>
    </row>
    <row r="361">
      <c r="A361" s="36"/>
      <c r="B361" s="37"/>
    </row>
    <row r="362">
      <c r="A362" s="36"/>
      <c r="B362" s="37"/>
    </row>
    <row r="363">
      <c r="A363" s="36"/>
      <c r="B363" s="37"/>
    </row>
    <row r="364">
      <c r="A364" s="36"/>
      <c r="B364" s="37"/>
    </row>
    <row r="365">
      <c r="A365" s="36"/>
      <c r="B365" s="37"/>
    </row>
    <row r="366">
      <c r="A366" s="36"/>
      <c r="B366" s="37"/>
    </row>
    <row r="367">
      <c r="A367" s="36"/>
      <c r="B367" s="37"/>
    </row>
    <row r="368">
      <c r="A368" s="36"/>
      <c r="B368" s="37"/>
    </row>
    <row r="369">
      <c r="A369" s="36"/>
      <c r="B369" s="37"/>
    </row>
    <row r="370">
      <c r="A370" s="36"/>
      <c r="B370" s="37"/>
    </row>
    <row r="371">
      <c r="A371" s="36"/>
      <c r="B371" s="37"/>
    </row>
    <row r="372">
      <c r="A372" s="36"/>
      <c r="B372" s="37"/>
    </row>
    <row r="373">
      <c r="A373" s="36"/>
      <c r="B373" s="37"/>
    </row>
    <row r="374">
      <c r="A374" s="36"/>
      <c r="B374" s="37"/>
    </row>
    <row r="375">
      <c r="A375" s="36"/>
      <c r="B375" s="37"/>
    </row>
    <row r="376">
      <c r="A376" s="36"/>
      <c r="B376" s="37"/>
    </row>
    <row r="377">
      <c r="A377" s="36"/>
      <c r="B377" s="37"/>
    </row>
    <row r="378">
      <c r="A378" s="36"/>
      <c r="B378" s="37"/>
    </row>
    <row r="379">
      <c r="A379" s="36"/>
      <c r="B379" s="37"/>
    </row>
    <row r="380">
      <c r="A380" s="36"/>
      <c r="B380" s="37"/>
    </row>
    <row r="381">
      <c r="A381" s="36"/>
      <c r="B381" s="37"/>
    </row>
    <row r="382">
      <c r="A382" s="36"/>
      <c r="B382" s="37"/>
    </row>
    <row r="383">
      <c r="A383" s="36"/>
      <c r="B383" s="37"/>
    </row>
    <row r="384">
      <c r="A384" s="36"/>
      <c r="B384" s="37"/>
    </row>
    <row r="385">
      <c r="A385" s="36"/>
      <c r="B385" s="37"/>
    </row>
    <row r="386">
      <c r="A386" s="36"/>
      <c r="B386" s="37"/>
    </row>
    <row r="387">
      <c r="A387" s="36"/>
      <c r="B387" s="37"/>
    </row>
    <row r="388">
      <c r="A388" s="36"/>
      <c r="B388" s="37"/>
    </row>
    <row r="389">
      <c r="A389" s="36"/>
      <c r="B389" s="37"/>
    </row>
    <row r="390">
      <c r="A390" s="36"/>
      <c r="B390" s="37"/>
    </row>
    <row r="391">
      <c r="A391" s="36"/>
      <c r="B391" s="37"/>
    </row>
    <row r="392">
      <c r="A392" s="36"/>
      <c r="B392" s="37"/>
    </row>
    <row r="393">
      <c r="A393" s="36"/>
      <c r="B393" s="37"/>
    </row>
    <row r="394">
      <c r="A394" s="36"/>
      <c r="B394" s="37"/>
    </row>
    <row r="395">
      <c r="A395" s="36"/>
      <c r="B395" s="37"/>
    </row>
    <row r="396">
      <c r="A396" s="36"/>
      <c r="B396" s="37"/>
    </row>
    <row r="397">
      <c r="A397" s="36"/>
      <c r="B397" s="37"/>
    </row>
    <row r="398">
      <c r="A398" s="36"/>
      <c r="B398" s="37"/>
    </row>
    <row r="399">
      <c r="A399" s="36"/>
      <c r="B399" s="37"/>
    </row>
    <row r="400">
      <c r="A400" s="36"/>
      <c r="B400" s="37"/>
    </row>
    <row r="401">
      <c r="A401" s="36"/>
      <c r="B401" s="37"/>
    </row>
    <row r="402">
      <c r="A402" s="36"/>
      <c r="B402" s="37"/>
    </row>
    <row r="403">
      <c r="A403" s="36"/>
      <c r="B403" s="37"/>
    </row>
    <row r="404">
      <c r="A404" s="36"/>
      <c r="B404" s="37"/>
    </row>
    <row r="405">
      <c r="A405" s="36"/>
      <c r="B405" s="37"/>
    </row>
    <row r="406">
      <c r="A406" s="36"/>
      <c r="B406" s="37"/>
    </row>
    <row r="407">
      <c r="A407" s="36"/>
      <c r="B407" s="37"/>
    </row>
    <row r="408">
      <c r="A408" s="36"/>
      <c r="B408" s="37"/>
    </row>
    <row r="409">
      <c r="A409" s="36"/>
      <c r="B409" s="37"/>
    </row>
    <row r="410">
      <c r="A410" s="36"/>
      <c r="B410" s="37"/>
    </row>
    <row r="411">
      <c r="A411" s="36"/>
      <c r="B411" s="37"/>
    </row>
    <row r="412">
      <c r="A412" s="36"/>
      <c r="B412" s="37"/>
    </row>
    <row r="413">
      <c r="A413" s="36"/>
      <c r="B413" s="37"/>
    </row>
    <row r="414">
      <c r="A414" s="36"/>
      <c r="B414" s="37"/>
    </row>
    <row r="415">
      <c r="A415" s="36"/>
      <c r="B415" s="37"/>
    </row>
    <row r="416">
      <c r="A416" s="36"/>
      <c r="B416" s="37"/>
    </row>
    <row r="417">
      <c r="A417" s="36"/>
      <c r="B417" s="37"/>
    </row>
    <row r="418">
      <c r="A418" s="36"/>
      <c r="B418" s="37"/>
    </row>
    <row r="419">
      <c r="A419" s="36"/>
      <c r="B419" s="37"/>
    </row>
    <row r="420">
      <c r="A420" s="36"/>
      <c r="B420" s="37"/>
    </row>
    <row r="421">
      <c r="A421" s="36"/>
      <c r="B421" s="37"/>
    </row>
    <row r="422">
      <c r="A422" s="36"/>
      <c r="B422" s="37"/>
    </row>
    <row r="423">
      <c r="A423" s="36"/>
      <c r="B423" s="37"/>
    </row>
    <row r="424">
      <c r="A424" s="36"/>
      <c r="B424" s="37"/>
    </row>
    <row r="425">
      <c r="A425" s="36"/>
      <c r="B425" s="37"/>
    </row>
    <row r="426">
      <c r="A426" s="36"/>
      <c r="B426" s="37"/>
    </row>
    <row r="427">
      <c r="A427" s="36"/>
      <c r="B427" s="37"/>
    </row>
    <row r="428">
      <c r="A428" s="36"/>
      <c r="B428" s="37"/>
    </row>
    <row r="429">
      <c r="A429" s="36"/>
      <c r="B429" s="37"/>
    </row>
    <row r="430">
      <c r="A430" s="36"/>
      <c r="B430" s="37"/>
    </row>
    <row r="431">
      <c r="A431" s="36"/>
      <c r="B431" s="37"/>
    </row>
    <row r="432">
      <c r="A432" s="36"/>
      <c r="B432" s="37"/>
    </row>
    <row r="433">
      <c r="A433" s="36"/>
      <c r="B433" s="37"/>
    </row>
    <row r="434">
      <c r="A434" s="36"/>
      <c r="B434" s="37"/>
    </row>
    <row r="435">
      <c r="A435" s="36"/>
      <c r="B435" s="37"/>
    </row>
    <row r="436">
      <c r="A436" s="36"/>
      <c r="B436" s="37"/>
    </row>
    <row r="437">
      <c r="A437" s="36"/>
      <c r="B437" s="37"/>
    </row>
    <row r="438">
      <c r="A438" s="36"/>
      <c r="B438" s="37"/>
    </row>
    <row r="439">
      <c r="A439" s="36"/>
      <c r="B439" s="37"/>
    </row>
    <row r="440">
      <c r="A440" s="36"/>
      <c r="B440" s="37"/>
    </row>
    <row r="441">
      <c r="A441" s="36"/>
      <c r="B441" s="37"/>
    </row>
    <row r="442">
      <c r="A442" s="36"/>
      <c r="B442" s="37"/>
    </row>
    <row r="443">
      <c r="A443" s="36"/>
      <c r="B443" s="37"/>
    </row>
    <row r="444">
      <c r="A444" s="36"/>
      <c r="B444" s="37"/>
    </row>
    <row r="445">
      <c r="A445" s="36"/>
      <c r="B445" s="37"/>
    </row>
    <row r="446">
      <c r="A446" s="36"/>
      <c r="B446" s="37"/>
    </row>
    <row r="447">
      <c r="A447" s="36"/>
      <c r="B447" s="37"/>
    </row>
    <row r="448">
      <c r="A448" s="36"/>
      <c r="B448" s="37"/>
    </row>
    <row r="449">
      <c r="A449" s="36"/>
      <c r="B449" s="37"/>
    </row>
    <row r="450">
      <c r="A450" s="36"/>
      <c r="B450" s="37"/>
    </row>
    <row r="451">
      <c r="A451" s="36"/>
      <c r="B451" s="37"/>
    </row>
    <row r="452">
      <c r="A452" s="36"/>
      <c r="B452" s="37"/>
    </row>
    <row r="453">
      <c r="A453" s="36"/>
      <c r="B453" s="37"/>
    </row>
    <row r="454">
      <c r="A454" s="36"/>
      <c r="B454" s="37"/>
    </row>
    <row r="455">
      <c r="A455" s="36"/>
      <c r="B455" s="37"/>
    </row>
    <row r="456">
      <c r="A456" s="36"/>
      <c r="B456" s="37"/>
    </row>
    <row r="457">
      <c r="A457" s="36"/>
      <c r="B457" s="37"/>
    </row>
    <row r="458">
      <c r="A458" s="36"/>
      <c r="B458" s="37"/>
    </row>
    <row r="459">
      <c r="A459" s="36"/>
      <c r="B459" s="37"/>
    </row>
    <row r="460">
      <c r="A460" s="36"/>
      <c r="B460" s="37"/>
    </row>
    <row r="461">
      <c r="A461" s="36"/>
      <c r="B461" s="37"/>
    </row>
    <row r="462">
      <c r="A462" s="36"/>
      <c r="B462" s="37"/>
    </row>
    <row r="463">
      <c r="A463" s="36"/>
      <c r="B463" s="37"/>
    </row>
    <row r="464">
      <c r="A464" s="36"/>
      <c r="B464" s="37"/>
    </row>
    <row r="465">
      <c r="A465" s="36"/>
      <c r="B465" s="37"/>
    </row>
    <row r="466">
      <c r="A466" s="36"/>
      <c r="B466" s="37"/>
    </row>
    <row r="467">
      <c r="A467" s="36"/>
      <c r="B467" s="37"/>
    </row>
    <row r="468">
      <c r="A468" s="36"/>
      <c r="B468" s="37"/>
    </row>
    <row r="469">
      <c r="A469" s="36"/>
      <c r="B469" s="37"/>
    </row>
    <row r="470">
      <c r="A470" s="36"/>
      <c r="B470" s="37"/>
    </row>
    <row r="471">
      <c r="A471" s="36"/>
      <c r="B471" s="37"/>
    </row>
    <row r="472">
      <c r="A472" s="36"/>
      <c r="B472" s="37"/>
    </row>
    <row r="473">
      <c r="A473" s="36"/>
      <c r="B473" s="37"/>
    </row>
    <row r="474">
      <c r="A474" s="36"/>
      <c r="B474" s="37"/>
    </row>
    <row r="475">
      <c r="A475" s="36"/>
      <c r="B475" s="37"/>
    </row>
    <row r="476">
      <c r="A476" s="36"/>
      <c r="B476" s="37"/>
    </row>
    <row r="477">
      <c r="A477" s="36"/>
      <c r="B477" s="37"/>
    </row>
    <row r="478">
      <c r="A478" s="36"/>
      <c r="B478" s="37"/>
    </row>
    <row r="479">
      <c r="A479" s="36"/>
      <c r="B479" s="37"/>
    </row>
    <row r="480">
      <c r="A480" s="36"/>
      <c r="B480" s="37"/>
    </row>
    <row r="481">
      <c r="A481" s="36"/>
      <c r="B481" s="37"/>
    </row>
    <row r="482">
      <c r="A482" s="36"/>
      <c r="B482" s="37"/>
    </row>
    <row r="483">
      <c r="A483" s="36"/>
      <c r="B483" s="37"/>
    </row>
    <row r="484">
      <c r="A484" s="36"/>
      <c r="B484" s="37"/>
    </row>
    <row r="485">
      <c r="A485" s="36"/>
      <c r="B485" s="37"/>
    </row>
    <row r="486">
      <c r="A486" s="36"/>
      <c r="B486" s="37"/>
    </row>
    <row r="487">
      <c r="A487" s="36"/>
      <c r="B487" s="37"/>
    </row>
    <row r="488">
      <c r="A488" s="36"/>
      <c r="B488" s="37"/>
    </row>
    <row r="489">
      <c r="A489" s="36"/>
      <c r="B489" s="37"/>
    </row>
    <row r="490">
      <c r="A490" s="36"/>
      <c r="B490" s="37"/>
    </row>
    <row r="491">
      <c r="A491" s="36"/>
      <c r="B491" s="37"/>
    </row>
    <row r="492">
      <c r="A492" s="36"/>
      <c r="B492" s="37"/>
    </row>
    <row r="493">
      <c r="A493" s="36"/>
      <c r="B493" s="37"/>
    </row>
    <row r="494">
      <c r="A494" s="36"/>
      <c r="B494" s="37"/>
    </row>
    <row r="495">
      <c r="A495" s="36"/>
      <c r="B495" s="37"/>
    </row>
    <row r="496">
      <c r="A496" s="36"/>
      <c r="B496" s="37"/>
    </row>
    <row r="497">
      <c r="A497" s="36"/>
      <c r="B497" s="37"/>
    </row>
    <row r="498">
      <c r="A498" s="36"/>
      <c r="B498" s="37"/>
    </row>
    <row r="499">
      <c r="A499" s="36"/>
      <c r="B499" s="37"/>
    </row>
    <row r="500">
      <c r="A500" s="36"/>
      <c r="B500" s="37"/>
    </row>
    <row r="501">
      <c r="A501" s="36"/>
      <c r="B501" s="37"/>
    </row>
    <row r="502">
      <c r="A502" s="36"/>
      <c r="B502" s="37"/>
    </row>
    <row r="503">
      <c r="A503" s="36"/>
      <c r="B503" s="37"/>
    </row>
    <row r="504">
      <c r="A504" s="36"/>
      <c r="B504" s="37"/>
    </row>
    <row r="505">
      <c r="A505" s="36"/>
      <c r="B505" s="37"/>
    </row>
    <row r="506">
      <c r="A506" s="36"/>
      <c r="B506" s="37"/>
    </row>
    <row r="507">
      <c r="A507" s="36"/>
      <c r="B507" s="37"/>
    </row>
    <row r="508">
      <c r="A508" s="36"/>
      <c r="B508" s="37"/>
    </row>
    <row r="509">
      <c r="A509" s="36"/>
      <c r="B509" s="37"/>
    </row>
    <row r="510">
      <c r="A510" s="36"/>
      <c r="B510" s="37"/>
    </row>
    <row r="511">
      <c r="A511" s="36"/>
      <c r="B511" s="37"/>
    </row>
    <row r="512">
      <c r="A512" s="36"/>
      <c r="B512" s="37"/>
    </row>
    <row r="513">
      <c r="A513" s="36"/>
      <c r="B513" s="37"/>
    </row>
    <row r="514">
      <c r="A514" s="36"/>
      <c r="B514" s="37"/>
    </row>
    <row r="515">
      <c r="A515" s="36"/>
      <c r="B515" s="37"/>
    </row>
    <row r="516">
      <c r="A516" s="36"/>
      <c r="B516" s="37"/>
    </row>
    <row r="517">
      <c r="A517" s="36"/>
      <c r="B517" s="37"/>
    </row>
    <row r="518">
      <c r="A518" s="36"/>
      <c r="B518" s="37"/>
    </row>
    <row r="519">
      <c r="A519" s="36"/>
      <c r="B519" s="37"/>
    </row>
    <row r="520">
      <c r="A520" s="36"/>
      <c r="B520" s="37"/>
    </row>
    <row r="521">
      <c r="A521" s="36"/>
      <c r="B521" s="37"/>
    </row>
    <row r="522">
      <c r="A522" s="36"/>
      <c r="B522" s="37"/>
    </row>
    <row r="523">
      <c r="A523" s="36"/>
      <c r="B523" s="37"/>
    </row>
    <row r="524">
      <c r="A524" s="36"/>
      <c r="B524" s="37"/>
    </row>
    <row r="525">
      <c r="A525" s="36"/>
      <c r="B525" s="37"/>
    </row>
    <row r="526">
      <c r="A526" s="36"/>
      <c r="B526" s="37"/>
    </row>
    <row r="527">
      <c r="A527" s="36"/>
      <c r="B527" s="37"/>
    </row>
    <row r="528">
      <c r="A528" s="36"/>
      <c r="B528" s="37"/>
    </row>
    <row r="529">
      <c r="A529" s="36"/>
      <c r="B529" s="37"/>
    </row>
    <row r="530">
      <c r="A530" s="36"/>
      <c r="B530" s="37"/>
    </row>
    <row r="531">
      <c r="A531" s="36"/>
      <c r="B531" s="37"/>
    </row>
    <row r="532">
      <c r="A532" s="36"/>
      <c r="B532" s="37"/>
    </row>
    <row r="533">
      <c r="A533" s="36"/>
      <c r="B533" s="37"/>
    </row>
    <row r="534">
      <c r="A534" s="36"/>
      <c r="B534" s="37"/>
    </row>
    <row r="535">
      <c r="A535" s="36"/>
      <c r="B535" s="37"/>
    </row>
    <row r="536">
      <c r="A536" s="36"/>
      <c r="B536" s="37"/>
    </row>
    <row r="537">
      <c r="A537" s="36"/>
      <c r="B537" s="37"/>
    </row>
    <row r="538">
      <c r="A538" s="36"/>
      <c r="B538" s="37"/>
    </row>
    <row r="539">
      <c r="A539" s="36"/>
      <c r="B539" s="37"/>
    </row>
    <row r="540">
      <c r="A540" s="36"/>
      <c r="B540" s="37"/>
    </row>
    <row r="541">
      <c r="A541" s="36"/>
      <c r="B541" s="37"/>
    </row>
    <row r="542">
      <c r="A542" s="36"/>
      <c r="B542" s="37"/>
    </row>
    <row r="543">
      <c r="A543" s="36"/>
      <c r="B543" s="37"/>
    </row>
    <row r="544">
      <c r="A544" s="36"/>
      <c r="B544" s="37"/>
    </row>
    <row r="545">
      <c r="A545" s="36"/>
      <c r="B545" s="37"/>
    </row>
    <row r="546">
      <c r="A546" s="36"/>
      <c r="B546" s="37"/>
    </row>
    <row r="547">
      <c r="A547" s="36"/>
      <c r="B547" s="37"/>
    </row>
    <row r="548">
      <c r="A548" s="36"/>
      <c r="B548" s="37"/>
    </row>
    <row r="549">
      <c r="A549" s="36"/>
      <c r="B549" s="37"/>
    </row>
    <row r="550">
      <c r="A550" s="36"/>
      <c r="B550" s="37"/>
    </row>
    <row r="551">
      <c r="A551" s="36"/>
      <c r="B551" s="37"/>
    </row>
    <row r="552">
      <c r="A552" s="36"/>
      <c r="B552" s="37"/>
    </row>
    <row r="553">
      <c r="A553" s="36"/>
      <c r="B553" s="37"/>
    </row>
    <row r="554">
      <c r="A554" s="36"/>
      <c r="B554" s="37"/>
    </row>
    <row r="555">
      <c r="A555" s="36"/>
      <c r="B555" s="37"/>
    </row>
    <row r="556">
      <c r="A556" s="36"/>
      <c r="B556" s="37"/>
    </row>
    <row r="557">
      <c r="A557" s="36"/>
      <c r="B557" s="37"/>
    </row>
    <row r="558">
      <c r="A558" s="36"/>
      <c r="B558" s="37"/>
    </row>
    <row r="559">
      <c r="A559" s="36"/>
      <c r="B559" s="37"/>
    </row>
    <row r="560">
      <c r="A560" s="36"/>
      <c r="B560" s="37"/>
    </row>
    <row r="561">
      <c r="A561" s="36"/>
      <c r="B561" s="37"/>
    </row>
    <row r="562">
      <c r="A562" s="36"/>
      <c r="B562" s="37"/>
    </row>
    <row r="563">
      <c r="A563" s="36"/>
      <c r="B563" s="37"/>
    </row>
    <row r="564">
      <c r="A564" s="36"/>
      <c r="B564" s="37"/>
    </row>
    <row r="565">
      <c r="A565" s="36"/>
      <c r="B565" s="37"/>
    </row>
    <row r="566">
      <c r="A566" s="36"/>
      <c r="B566" s="37"/>
    </row>
    <row r="567">
      <c r="A567" s="36"/>
      <c r="B567" s="37"/>
    </row>
    <row r="568">
      <c r="A568" s="36"/>
      <c r="B568" s="37"/>
    </row>
    <row r="569">
      <c r="A569" s="36"/>
      <c r="B569" s="37"/>
    </row>
    <row r="570">
      <c r="A570" s="36"/>
      <c r="B570" s="37"/>
    </row>
    <row r="571">
      <c r="A571" s="36"/>
      <c r="B571" s="37"/>
    </row>
    <row r="572">
      <c r="A572" s="36"/>
      <c r="B572" s="37"/>
    </row>
    <row r="573">
      <c r="A573" s="36"/>
      <c r="B573" s="37"/>
    </row>
    <row r="574">
      <c r="A574" s="36"/>
      <c r="B574" s="37"/>
    </row>
    <row r="575">
      <c r="A575" s="36"/>
      <c r="B575" s="37"/>
    </row>
    <row r="576">
      <c r="A576" s="36"/>
      <c r="B576" s="37"/>
    </row>
    <row r="577">
      <c r="A577" s="36"/>
      <c r="B577" s="37"/>
    </row>
    <row r="578">
      <c r="A578" s="36"/>
      <c r="B578" s="37"/>
    </row>
    <row r="579">
      <c r="A579" s="36"/>
      <c r="B579" s="37"/>
    </row>
    <row r="580">
      <c r="A580" s="36"/>
      <c r="B580" s="37"/>
    </row>
    <row r="581">
      <c r="A581" s="36"/>
      <c r="B581" s="37"/>
    </row>
    <row r="582">
      <c r="A582" s="36"/>
      <c r="B582" s="37"/>
    </row>
    <row r="583">
      <c r="A583" s="36"/>
      <c r="B583" s="37"/>
    </row>
    <row r="584">
      <c r="A584" s="36"/>
      <c r="B584" s="37"/>
    </row>
    <row r="585">
      <c r="A585" s="36"/>
      <c r="B585" s="37"/>
    </row>
    <row r="586">
      <c r="A586" s="36"/>
      <c r="B586" s="37"/>
    </row>
    <row r="587">
      <c r="A587" s="36"/>
      <c r="B587" s="37"/>
    </row>
    <row r="588">
      <c r="A588" s="36"/>
      <c r="B588" s="37"/>
    </row>
    <row r="589">
      <c r="A589" s="36"/>
      <c r="B589" s="37"/>
    </row>
    <row r="590">
      <c r="A590" s="36"/>
      <c r="B590" s="37"/>
    </row>
    <row r="591">
      <c r="A591" s="36"/>
      <c r="B591" s="37"/>
    </row>
    <row r="592">
      <c r="A592" s="36"/>
      <c r="B592" s="37"/>
    </row>
    <row r="593">
      <c r="A593" s="36"/>
      <c r="B593" s="37"/>
    </row>
    <row r="594">
      <c r="A594" s="36"/>
      <c r="B594" s="37"/>
    </row>
    <row r="595">
      <c r="A595" s="36"/>
      <c r="B595" s="37"/>
    </row>
    <row r="596">
      <c r="A596" s="36"/>
      <c r="B596" s="37"/>
    </row>
    <row r="597">
      <c r="A597" s="36"/>
      <c r="B597" s="37"/>
    </row>
    <row r="598">
      <c r="A598" s="36"/>
      <c r="B598" s="37"/>
    </row>
    <row r="599">
      <c r="A599" s="36"/>
      <c r="B599" s="37"/>
    </row>
    <row r="600">
      <c r="A600" s="36"/>
      <c r="B600" s="37"/>
    </row>
    <row r="601">
      <c r="A601" s="36"/>
      <c r="B601" s="37"/>
    </row>
    <row r="602">
      <c r="A602" s="36"/>
      <c r="B602" s="37"/>
    </row>
    <row r="603">
      <c r="A603" s="36"/>
      <c r="B603" s="37"/>
    </row>
    <row r="604">
      <c r="A604" s="36"/>
      <c r="B604" s="37"/>
    </row>
    <row r="605">
      <c r="A605" s="36"/>
      <c r="B605" s="37"/>
    </row>
    <row r="606">
      <c r="A606" s="36"/>
      <c r="B606" s="37"/>
    </row>
    <row r="607">
      <c r="A607" s="36"/>
      <c r="B607" s="37"/>
    </row>
    <row r="608">
      <c r="A608" s="36"/>
      <c r="B608" s="37"/>
    </row>
    <row r="609">
      <c r="A609" s="36"/>
      <c r="B609" s="37"/>
    </row>
    <row r="610">
      <c r="A610" s="36"/>
      <c r="B610" s="37"/>
    </row>
    <row r="611">
      <c r="A611" s="36"/>
      <c r="B611" s="37"/>
    </row>
    <row r="612">
      <c r="A612" s="36"/>
      <c r="B612" s="37"/>
    </row>
    <row r="613">
      <c r="A613" s="36"/>
      <c r="B613" s="37"/>
    </row>
    <row r="614">
      <c r="A614" s="36"/>
      <c r="B614" s="37"/>
    </row>
    <row r="615">
      <c r="A615" s="36"/>
      <c r="B615" s="37"/>
    </row>
    <row r="616">
      <c r="A616" s="36"/>
      <c r="B616" s="37"/>
    </row>
    <row r="617">
      <c r="A617" s="36"/>
      <c r="B617" s="37"/>
    </row>
    <row r="618">
      <c r="A618" s="36"/>
      <c r="B618" s="37"/>
    </row>
    <row r="619">
      <c r="A619" s="36"/>
      <c r="B619" s="37"/>
    </row>
    <row r="620">
      <c r="A620" s="36"/>
      <c r="B620" s="37"/>
    </row>
    <row r="621">
      <c r="A621" s="36"/>
      <c r="B621" s="37"/>
    </row>
    <row r="622">
      <c r="A622" s="36"/>
      <c r="B622" s="37"/>
    </row>
    <row r="623">
      <c r="A623" s="36"/>
      <c r="B623" s="37"/>
    </row>
    <row r="624">
      <c r="A624" s="36"/>
      <c r="B624" s="37"/>
    </row>
    <row r="625">
      <c r="A625" s="36"/>
      <c r="B625" s="37"/>
    </row>
    <row r="626">
      <c r="A626" s="36"/>
      <c r="B626" s="37"/>
    </row>
    <row r="627">
      <c r="A627" s="36"/>
      <c r="B627" s="37"/>
    </row>
    <row r="628">
      <c r="A628" s="36"/>
      <c r="B628" s="37"/>
    </row>
    <row r="629">
      <c r="A629" s="36"/>
      <c r="B629" s="37"/>
    </row>
    <row r="630">
      <c r="A630" s="36"/>
      <c r="B630" s="37"/>
    </row>
    <row r="631">
      <c r="A631" s="36"/>
      <c r="B631" s="37"/>
    </row>
    <row r="632">
      <c r="A632" s="36"/>
      <c r="B632" s="37"/>
    </row>
    <row r="633">
      <c r="A633" s="36"/>
      <c r="B633" s="37"/>
    </row>
    <row r="634">
      <c r="A634" s="36"/>
      <c r="B634" s="37"/>
    </row>
    <row r="635">
      <c r="A635" s="36"/>
      <c r="B635" s="37"/>
    </row>
    <row r="636">
      <c r="A636" s="36"/>
      <c r="B636" s="37"/>
    </row>
    <row r="637">
      <c r="A637" s="36"/>
      <c r="B637" s="37"/>
    </row>
    <row r="638">
      <c r="A638" s="36"/>
      <c r="B638" s="37"/>
    </row>
    <row r="639">
      <c r="A639" s="36"/>
      <c r="B639" s="37"/>
    </row>
    <row r="640">
      <c r="A640" s="36"/>
      <c r="B640" s="37"/>
    </row>
    <row r="641">
      <c r="A641" s="36"/>
      <c r="B641" s="37"/>
    </row>
    <row r="642">
      <c r="A642" s="36"/>
      <c r="B642" s="37"/>
    </row>
    <row r="643">
      <c r="A643" s="36"/>
      <c r="B643" s="37"/>
    </row>
    <row r="644">
      <c r="A644" s="36"/>
      <c r="B644" s="37"/>
    </row>
    <row r="645">
      <c r="A645" s="36"/>
      <c r="B645" s="37"/>
    </row>
    <row r="646">
      <c r="A646" s="36"/>
      <c r="B646" s="37"/>
    </row>
    <row r="647">
      <c r="A647" s="36"/>
      <c r="B647" s="37"/>
    </row>
    <row r="648">
      <c r="A648" s="36"/>
      <c r="B648" s="37"/>
    </row>
    <row r="649">
      <c r="A649" s="36"/>
      <c r="B649" s="37"/>
    </row>
    <row r="650">
      <c r="A650" s="36"/>
      <c r="B650" s="37"/>
    </row>
    <row r="651">
      <c r="A651" s="36"/>
      <c r="B651" s="37"/>
    </row>
    <row r="652">
      <c r="A652" s="36"/>
      <c r="B652" s="37"/>
    </row>
    <row r="653">
      <c r="A653" s="36"/>
      <c r="B653" s="37"/>
    </row>
    <row r="654">
      <c r="A654" s="36"/>
      <c r="B654" s="37"/>
    </row>
    <row r="655">
      <c r="A655" s="36"/>
      <c r="B655" s="37"/>
    </row>
    <row r="656">
      <c r="A656" s="36"/>
      <c r="B656" s="37"/>
    </row>
    <row r="657">
      <c r="A657" s="36"/>
      <c r="B657" s="37"/>
    </row>
    <row r="658">
      <c r="A658" s="36"/>
      <c r="B658" s="37"/>
    </row>
    <row r="659">
      <c r="A659" s="36"/>
      <c r="B659" s="37"/>
    </row>
    <row r="660">
      <c r="A660" s="36"/>
      <c r="B660" s="37"/>
    </row>
    <row r="661">
      <c r="A661" s="36"/>
      <c r="B661" s="37"/>
    </row>
    <row r="662">
      <c r="A662" s="36"/>
      <c r="B662" s="37"/>
    </row>
    <row r="663">
      <c r="A663" s="36"/>
      <c r="B663" s="37"/>
    </row>
    <row r="664">
      <c r="A664" s="36"/>
      <c r="B664" s="37"/>
    </row>
    <row r="665">
      <c r="A665" s="36"/>
      <c r="B665" s="37"/>
    </row>
    <row r="666">
      <c r="A666" s="36"/>
      <c r="B666" s="37"/>
    </row>
    <row r="667">
      <c r="A667" s="36"/>
      <c r="B667" s="37"/>
    </row>
    <row r="668">
      <c r="A668" s="36"/>
      <c r="B668" s="37"/>
    </row>
    <row r="669">
      <c r="A669" s="36"/>
      <c r="B669" s="37"/>
    </row>
    <row r="670">
      <c r="A670" s="36"/>
      <c r="B670" s="37"/>
    </row>
    <row r="671">
      <c r="A671" s="36"/>
      <c r="B671" s="37"/>
    </row>
    <row r="672">
      <c r="A672" s="36"/>
      <c r="B672" s="37"/>
    </row>
    <row r="673">
      <c r="A673" s="36"/>
      <c r="B673" s="37"/>
    </row>
    <row r="674">
      <c r="A674" s="36"/>
      <c r="B674" s="37"/>
    </row>
    <row r="675">
      <c r="A675" s="36"/>
      <c r="B675" s="37"/>
    </row>
    <row r="676">
      <c r="A676" s="36"/>
      <c r="B676" s="37"/>
    </row>
    <row r="677">
      <c r="A677" s="36"/>
      <c r="B677" s="37"/>
    </row>
    <row r="678">
      <c r="A678" s="36"/>
      <c r="B678" s="37"/>
    </row>
    <row r="679">
      <c r="A679" s="36"/>
      <c r="B679" s="37"/>
    </row>
    <row r="680">
      <c r="A680" s="36"/>
      <c r="B680" s="37"/>
    </row>
    <row r="681">
      <c r="A681" s="36"/>
      <c r="B681" s="37"/>
    </row>
    <row r="682">
      <c r="A682" s="36"/>
      <c r="B682" s="37"/>
    </row>
    <row r="683">
      <c r="A683" s="36"/>
      <c r="B683" s="37"/>
    </row>
    <row r="684">
      <c r="A684" s="36"/>
      <c r="B684" s="37"/>
    </row>
    <row r="685">
      <c r="A685" s="36"/>
      <c r="B685" s="37"/>
    </row>
    <row r="686">
      <c r="A686" s="36"/>
      <c r="B686" s="37"/>
    </row>
    <row r="687">
      <c r="A687" s="36"/>
      <c r="B687" s="37"/>
    </row>
    <row r="688">
      <c r="A688" s="36"/>
      <c r="B688" s="37"/>
    </row>
    <row r="689">
      <c r="A689" s="36"/>
      <c r="B689" s="37"/>
    </row>
    <row r="690">
      <c r="A690" s="36"/>
      <c r="B690" s="37"/>
    </row>
    <row r="691">
      <c r="A691" s="36"/>
      <c r="B691" s="37"/>
    </row>
    <row r="692">
      <c r="A692" s="36"/>
      <c r="B692" s="37"/>
    </row>
    <row r="693">
      <c r="A693" s="36"/>
      <c r="B693" s="37"/>
    </row>
    <row r="694">
      <c r="A694" s="36"/>
      <c r="B694" s="37"/>
    </row>
    <row r="695">
      <c r="A695" s="36"/>
      <c r="B695" s="37"/>
    </row>
    <row r="696">
      <c r="A696" s="36"/>
      <c r="B696" s="37"/>
    </row>
    <row r="697">
      <c r="A697" s="36"/>
      <c r="B697" s="37"/>
    </row>
    <row r="698">
      <c r="A698" s="36"/>
      <c r="B698" s="37"/>
    </row>
    <row r="699">
      <c r="A699" s="36"/>
      <c r="B699" s="37"/>
    </row>
    <row r="700">
      <c r="A700" s="36"/>
      <c r="B700" s="37"/>
    </row>
    <row r="701">
      <c r="A701" s="36"/>
      <c r="B701" s="37"/>
    </row>
    <row r="702">
      <c r="A702" s="36"/>
      <c r="B702" s="37"/>
    </row>
    <row r="703">
      <c r="A703" s="36"/>
      <c r="B703" s="37"/>
    </row>
    <row r="704">
      <c r="A704" s="36"/>
      <c r="B704" s="37"/>
    </row>
    <row r="705">
      <c r="A705" s="36"/>
      <c r="B705" s="37"/>
    </row>
    <row r="706">
      <c r="A706" s="36"/>
      <c r="B706" s="37"/>
    </row>
    <row r="707">
      <c r="A707" s="36"/>
      <c r="B707" s="37"/>
    </row>
    <row r="708">
      <c r="A708" s="36"/>
      <c r="B708" s="37"/>
    </row>
    <row r="709">
      <c r="A709" s="36"/>
      <c r="B709" s="37"/>
    </row>
    <row r="710">
      <c r="A710" s="36"/>
      <c r="B710" s="37"/>
    </row>
    <row r="711">
      <c r="A711" s="36"/>
      <c r="B711" s="37"/>
    </row>
    <row r="712">
      <c r="A712" s="36"/>
      <c r="B712" s="37"/>
    </row>
    <row r="713">
      <c r="A713" s="36"/>
      <c r="B713" s="37"/>
    </row>
    <row r="714">
      <c r="A714" s="36"/>
      <c r="B714" s="37"/>
    </row>
    <row r="715">
      <c r="A715" s="36"/>
      <c r="B715" s="37"/>
    </row>
    <row r="716">
      <c r="A716" s="36"/>
      <c r="B716" s="37"/>
    </row>
    <row r="717">
      <c r="A717" s="36"/>
      <c r="B717" s="37"/>
    </row>
    <row r="718">
      <c r="A718" s="36"/>
      <c r="B718" s="37"/>
    </row>
    <row r="719">
      <c r="A719" s="36"/>
      <c r="B719" s="37"/>
    </row>
    <row r="720">
      <c r="A720" s="36"/>
      <c r="B720" s="37"/>
    </row>
    <row r="721">
      <c r="A721" s="36"/>
      <c r="B721" s="37"/>
    </row>
    <row r="722">
      <c r="A722" s="36"/>
      <c r="B722" s="37"/>
    </row>
    <row r="723">
      <c r="A723" s="36"/>
      <c r="B723" s="37"/>
    </row>
    <row r="724">
      <c r="A724" s="36"/>
      <c r="B724" s="37"/>
    </row>
    <row r="725">
      <c r="A725" s="36"/>
      <c r="B725" s="37"/>
    </row>
    <row r="726">
      <c r="A726" s="36"/>
      <c r="B726" s="37"/>
    </row>
    <row r="727">
      <c r="A727" s="36"/>
      <c r="B727" s="37"/>
    </row>
    <row r="728">
      <c r="A728" s="36"/>
      <c r="B728" s="37"/>
    </row>
    <row r="729">
      <c r="A729" s="36"/>
      <c r="B729" s="37"/>
    </row>
    <row r="730">
      <c r="A730" s="36"/>
      <c r="B730" s="37"/>
    </row>
    <row r="731">
      <c r="A731" s="36"/>
      <c r="B731" s="37"/>
    </row>
    <row r="732">
      <c r="A732" s="36"/>
      <c r="B732" s="37"/>
    </row>
    <row r="733">
      <c r="A733" s="36"/>
      <c r="B733" s="37"/>
    </row>
    <row r="734">
      <c r="A734" s="36"/>
      <c r="B734" s="37"/>
    </row>
    <row r="735">
      <c r="A735" s="36"/>
      <c r="B735" s="37"/>
    </row>
    <row r="736">
      <c r="A736" s="36"/>
      <c r="B736" s="37"/>
    </row>
    <row r="737">
      <c r="A737" s="36"/>
      <c r="B737" s="37"/>
    </row>
    <row r="738">
      <c r="A738" s="36"/>
      <c r="B738" s="37"/>
    </row>
    <row r="739">
      <c r="A739" s="36"/>
      <c r="B739" s="37"/>
    </row>
    <row r="740">
      <c r="A740" s="36"/>
      <c r="B740" s="37"/>
    </row>
    <row r="741">
      <c r="A741" s="36"/>
      <c r="B741" s="37"/>
    </row>
    <row r="742">
      <c r="A742" s="36"/>
      <c r="B742" s="37"/>
    </row>
    <row r="743">
      <c r="A743" s="36"/>
      <c r="B743" s="37"/>
    </row>
    <row r="744">
      <c r="A744" s="36"/>
      <c r="B744" s="37"/>
    </row>
    <row r="745">
      <c r="A745" s="36"/>
      <c r="B745" s="37"/>
    </row>
    <row r="746">
      <c r="A746" s="36"/>
      <c r="B746" s="37"/>
    </row>
    <row r="747">
      <c r="A747" s="36"/>
      <c r="B747" s="37"/>
    </row>
    <row r="748">
      <c r="A748" s="36"/>
      <c r="B748" s="37"/>
    </row>
    <row r="749">
      <c r="A749" s="36"/>
      <c r="B749" s="37"/>
    </row>
    <row r="750">
      <c r="A750" s="36"/>
      <c r="B750" s="37"/>
    </row>
    <row r="751">
      <c r="A751" s="36"/>
      <c r="B751" s="37"/>
    </row>
    <row r="752">
      <c r="A752" s="36"/>
      <c r="B752" s="37"/>
    </row>
    <row r="753">
      <c r="A753" s="36"/>
      <c r="B753" s="37"/>
    </row>
    <row r="754">
      <c r="A754" s="36"/>
      <c r="B754" s="37"/>
    </row>
    <row r="755">
      <c r="A755" s="36"/>
      <c r="B755" s="37"/>
    </row>
    <row r="756">
      <c r="A756" s="36"/>
      <c r="B756" s="37"/>
    </row>
    <row r="757">
      <c r="A757" s="36"/>
      <c r="B757" s="37"/>
    </row>
    <row r="758">
      <c r="A758" s="36"/>
      <c r="B758" s="37"/>
    </row>
    <row r="759">
      <c r="A759" s="36"/>
      <c r="B759" s="37"/>
    </row>
    <row r="760">
      <c r="A760" s="36"/>
      <c r="B760" s="37"/>
    </row>
    <row r="761">
      <c r="A761" s="36"/>
      <c r="B761" s="37"/>
    </row>
    <row r="762">
      <c r="A762" s="36"/>
      <c r="B762" s="37"/>
    </row>
    <row r="763">
      <c r="A763" s="36"/>
      <c r="B763" s="37"/>
    </row>
    <row r="764">
      <c r="A764" s="36"/>
      <c r="B764" s="37"/>
    </row>
    <row r="765">
      <c r="A765" s="36"/>
      <c r="B765" s="37"/>
    </row>
    <row r="766">
      <c r="A766" s="36"/>
      <c r="B766" s="37"/>
    </row>
    <row r="767">
      <c r="A767" s="36"/>
      <c r="B767" s="37"/>
    </row>
    <row r="768">
      <c r="A768" s="36"/>
      <c r="B768" s="37"/>
    </row>
    <row r="769">
      <c r="A769" s="36"/>
      <c r="B769" s="37"/>
    </row>
    <row r="770">
      <c r="A770" s="36"/>
      <c r="B770" s="37"/>
    </row>
    <row r="771">
      <c r="A771" s="36"/>
      <c r="B771" s="37"/>
    </row>
    <row r="772">
      <c r="A772" s="36"/>
      <c r="B772" s="37"/>
    </row>
    <row r="773">
      <c r="A773" s="36"/>
      <c r="B773" s="37"/>
    </row>
    <row r="774">
      <c r="A774" s="36"/>
      <c r="B774" s="37"/>
    </row>
    <row r="775">
      <c r="A775" s="36"/>
      <c r="B775" s="37"/>
    </row>
    <row r="776">
      <c r="A776" s="36"/>
      <c r="B776" s="37"/>
    </row>
    <row r="777">
      <c r="A777" s="36"/>
      <c r="B777" s="37"/>
    </row>
    <row r="778">
      <c r="A778" s="36"/>
      <c r="B778" s="37"/>
    </row>
    <row r="779">
      <c r="A779" s="36"/>
      <c r="B779" s="37"/>
    </row>
    <row r="780">
      <c r="A780" s="36"/>
      <c r="B780" s="37"/>
    </row>
    <row r="781">
      <c r="A781" s="36"/>
      <c r="B781" s="37"/>
    </row>
    <row r="782">
      <c r="A782" s="36"/>
      <c r="B782" s="37"/>
    </row>
    <row r="783">
      <c r="A783" s="36"/>
      <c r="B783" s="37"/>
    </row>
    <row r="784">
      <c r="A784" s="36"/>
      <c r="B784" s="37"/>
    </row>
    <row r="785">
      <c r="A785" s="36"/>
      <c r="B785" s="37"/>
    </row>
    <row r="786">
      <c r="A786" s="36"/>
      <c r="B786" s="37"/>
    </row>
    <row r="787">
      <c r="A787" s="36"/>
      <c r="B787" s="37"/>
    </row>
    <row r="788">
      <c r="A788" s="36"/>
      <c r="B788" s="37"/>
    </row>
    <row r="789">
      <c r="A789" s="36"/>
      <c r="B789" s="37"/>
    </row>
    <row r="790">
      <c r="A790" s="36"/>
      <c r="B790" s="37"/>
    </row>
    <row r="791">
      <c r="A791" s="36"/>
      <c r="B791" s="37"/>
    </row>
    <row r="792">
      <c r="A792" s="36"/>
      <c r="B792" s="37"/>
    </row>
    <row r="793">
      <c r="A793" s="36"/>
      <c r="B793" s="37"/>
    </row>
    <row r="794">
      <c r="A794" s="36"/>
      <c r="B794" s="37"/>
    </row>
    <row r="795">
      <c r="A795" s="36"/>
      <c r="B795" s="37"/>
    </row>
    <row r="796">
      <c r="A796" s="36"/>
      <c r="B796" s="37"/>
    </row>
    <row r="797">
      <c r="A797" s="36"/>
      <c r="B797" s="37"/>
    </row>
    <row r="798">
      <c r="A798" s="36"/>
      <c r="B798" s="37"/>
    </row>
    <row r="799">
      <c r="A799" s="36"/>
      <c r="B799" s="37"/>
    </row>
    <row r="800">
      <c r="A800" s="36"/>
      <c r="B800" s="37"/>
    </row>
    <row r="801">
      <c r="A801" s="36"/>
      <c r="B801" s="37"/>
    </row>
    <row r="802">
      <c r="A802" s="36"/>
      <c r="B802" s="37"/>
    </row>
    <row r="803">
      <c r="A803" s="36"/>
      <c r="B803" s="37"/>
    </row>
    <row r="804">
      <c r="A804" s="36"/>
      <c r="B804" s="37"/>
    </row>
    <row r="805">
      <c r="A805" s="36"/>
      <c r="B805" s="37"/>
    </row>
    <row r="806">
      <c r="A806" s="36"/>
      <c r="B806" s="37"/>
    </row>
    <row r="807">
      <c r="A807" s="36"/>
      <c r="B807" s="37"/>
    </row>
    <row r="808">
      <c r="A808" s="36"/>
      <c r="B808" s="37"/>
    </row>
    <row r="809">
      <c r="A809" s="36"/>
      <c r="B809" s="37"/>
    </row>
    <row r="810">
      <c r="A810" s="36"/>
      <c r="B810" s="37"/>
    </row>
    <row r="811">
      <c r="A811" s="36"/>
      <c r="B811" s="37"/>
    </row>
    <row r="812">
      <c r="A812" s="36"/>
      <c r="B812" s="37"/>
    </row>
    <row r="813">
      <c r="A813" s="36"/>
      <c r="B813" s="37"/>
    </row>
    <row r="814">
      <c r="A814" s="36"/>
      <c r="B814" s="37"/>
    </row>
    <row r="815">
      <c r="A815" s="36"/>
      <c r="B815" s="37"/>
    </row>
    <row r="816">
      <c r="A816" s="36"/>
      <c r="B816" s="37"/>
    </row>
    <row r="817">
      <c r="A817" s="36"/>
      <c r="B817" s="37"/>
    </row>
    <row r="818">
      <c r="A818" s="36"/>
      <c r="B818" s="37"/>
    </row>
    <row r="819">
      <c r="A819" s="36"/>
      <c r="B819" s="37"/>
    </row>
    <row r="820">
      <c r="A820" s="36"/>
      <c r="B820" s="37"/>
    </row>
    <row r="821">
      <c r="A821" s="36"/>
      <c r="B821" s="37"/>
    </row>
    <row r="822">
      <c r="A822" s="36"/>
      <c r="B822" s="37"/>
    </row>
    <row r="823">
      <c r="A823" s="36"/>
      <c r="B823" s="37"/>
    </row>
    <row r="824">
      <c r="A824" s="36"/>
      <c r="B824" s="37"/>
    </row>
    <row r="825">
      <c r="A825" s="36"/>
      <c r="B825" s="37"/>
    </row>
    <row r="826">
      <c r="A826" s="36"/>
      <c r="B826" s="37"/>
    </row>
    <row r="827">
      <c r="A827" s="36"/>
      <c r="B827" s="37"/>
    </row>
    <row r="828">
      <c r="A828" s="36"/>
      <c r="B828" s="37"/>
    </row>
    <row r="829">
      <c r="A829" s="36"/>
      <c r="B829" s="37"/>
    </row>
    <row r="830">
      <c r="A830" s="36"/>
      <c r="B830" s="37"/>
    </row>
    <row r="831">
      <c r="A831" s="36"/>
      <c r="B831" s="37"/>
    </row>
    <row r="832">
      <c r="A832" s="36"/>
      <c r="B832" s="37"/>
    </row>
    <row r="833">
      <c r="A833" s="36"/>
      <c r="B833" s="37"/>
    </row>
    <row r="834">
      <c r="A834" s="36"/>
      <c r="B834" s="37"/>
    </row>
    <row r="835">
      <c r="A835" s="36"/>
      <c r="B835" s="37"/>
    </row>
    <row r="836">
      <c r="A836" s="36"/>
      <c r="B836" s="37"/>
    </row>
    <row r="837">
      <c r="A837" s="36"/>
      <c r="B837" s="37"/>
    </row>
    <row r="838">
      <c r="A838" s="36"/>
      <c r="B838" s="37"/>
    </row>
    <row r="839">
      <c r="A839" s="36"/>
      <c r="B839" s="37"/>
    </row>
    <row r="840">
      <c r="A840" s="36"/>
      <c r="B840" s="37"/>
    </row>
    <row r="841">
      <c r="A841" s="36"/>
      <c r="B841" s="37"/>
    </row>
    <row r="842">
      <c r="A842" s="36"/>
      <c r="B842" s="37"/>
    </row>
    <row r="843">
      <c r="A843" s="36"/>
      <c r="B843" s="37"/>
    </row>
    <row r="844">
      <c r="A844" s="36"/>
      <c r="B844" s="37"/>
    </row>
    <row r="845">
      <c r="A845" s="36"/>
      <c r="B845" s="37"/>
    </row>
    <row r="846">
      <c r="A846" s="36"/>
      <c r="B846" s="37"/>
    </row>
    <row r="847">
      <c r="A847" s="36"/>
      <c r="B847" s="37"/>
    </row>
    <row r="848">
      <c r="A848" s="36"/>
      <c r="B848" s="37"/>
    </row>
    <row r="849">
      <c r="A849" s="36"/>
      <c r="B849" s="37"/>
    </row>
    <row r="850">
      <c r="A850" s="36"/>
      <c r="B850" s="37"/>
    </row>
    <row r="851">
      <c r="A851" s="36"/>
      <c r="B851" s="37"/>
    </row>
    <row r="852">
      <c r="A852" s="36"/>
      <c r="B852" s="37"/>
    </row>
    <row r="853">
      <c r="A853" s="36"/>
      <c r="B853" s="37"/>
    </row>
    <row r="854">
      <c r="A854" s="36"/>
      <c r="B854" s="37"/>
    </row>
    <row r="855">
      <c r="A855" s="36"/>
      <c r="B855" s="37"/>
    </row>
    <row r="856">
      <c r="A856" s="36"/>
      <c r="B856" s="37"/>
    </row>
    <row r="857">
      <c r="A857" s="36"/>
      <c r="B857" s="37"/>
    </row>
    <row r="858">
      <c r="A858" s="36"/>
      <c r="B858" s="37"/>
    </row>
    <row r="859">
      <c r="A859" s="36"/>
      <c r="B859" s="37"/>
    </row>
    <row r="860">
      <c r="A860" s="36"/>
      <c r="B860" s="37"/>
    </row>
    <row r="861">
      <c r="A861" s="36"/>
      <c r="B861" s="37"/>
    </row>
    <row r="862">
      <c r="A862" s="36"/>
      <c r="B862" s="37"/>
    </row>
    <row r="863">
      <c r="A863" s="36"/>
      <c r="B863" s="37"/>
    </row>
    <row r="864">
      <c r="A864" s="36"/>
      <c r="B864" s="37"/>
    </row>
    <row r="865">
      <c r="A865" s="36"/>
      <c r="B865" s="37"/>
    </row>
    <row r="866">
      <c r="A866" s="36"/>
      <c r="B866" s="37"/>
    </row>
    <row r="867">
      <c r="A867" s="36"/>
      <c r="B867" s="37"/>
    </row>
    <row r="868">
      <c r="A868" s="36"/>
      <c r="B868" s="37"/>
    </row>
    <row r="869">
      <c r="A869" s="36"/>
      <c r="B869" s="37"/>
    </row>
    <row r="870">
      <c r="A870" s="36"/>
      <c r="B870" s="37"/>
    </row>
    <row r="871">
      <c r="A871" s="36"/>
      <c r="B871" s="37"/>
    </row>
    <row r="872">
      <c r="A872" s="36"/>
      <c r="B872" s="37"/>
    </row>
    <row r="873">
      <c r="A873" s="36"/>
      <c r="B873" s="37"/>
    </row>
    <row r="874">
      <c r="A874" s="36"/>
      <c r="B874" s="37"/>
    </row>
    <row r="875">
      <c r="A875" s="36"/>
      <c r="B875" s="37"/>
    </row>
    <row r="876">
      <c r="A876" s="36"/>
      <c r="B876" s="37"/>
    </row>
    <row r="877">
      <c r="A877" s="36"/>
      <c r="B877" s="37"/>
    </row>
    <row r="878">
      <c r="A878" s="36"/>
      <c r="B878" s="37"/>
    </row>
    <row r="879">
      <c r="A879" s="36"/>
      <c r="B879" s="37"/>
    </row>
    <row r="880">
      <c r="A880" s="36"/>
      <c r="B880" s="37"/>
    </row>
    <row r="881">
      <c r="A881" s="36"/>
      <c r="B881" s="37"/>
    </row>
    <row r="882">
      <c r="A882" s="36"/>
      <c r="B882" s="37"/>
    </row>
    <row r="883">
      <c r="A883" s="36"/>
      <c r="B883" s="37"/>
    </row>
    <row r="884">
      <c r="A884" s="36"/>
      <c r="B884" s="37"/>
    </row>
    <row r="885">
      <c r="A885" s="36"/>
      <c r="B885" s="37"/>
    </row>
    <row r="886">
      <c r="A886" s="36"/>
      <c r="B886" s="37"/>
    </row>
    <row r="887">
      <c r="A887" s="36"/>
      <c r="B887" s="37"/>
    </row>
    <row r="888">
      <c r="A888" s="36"/>
      <c r="B888" s="37"/>
    </row>
    <row r="889">
      <c r="A889" s="36"/>
      <c r="B889" s="37"/>
    </row>
    <row r="890">
      <c r="A890" s="36"/>
      <c r="B890" s="37"/>
    </row>
    <row r="891">
      <c r="A891" s="36"/>
      <c r="B891" s="37"/>
    </row>
    <row r="892">
      <c r="A892" s="36"/>
      <c r="B892" s="37"/>
    </row>
    <row r="893">
      <c r="A893" s="36"/>
      <c r="B893" s="37"/>
    </row>
    <row r="894">
      <c r="A894" s="36"/>
      <c r="B894" s="37"/>
    </row>
    <row r="895">
      <c r="A895" s="36"/>
      <c r="B895" s="37"/>
    </row>
    <row r="896">
      <c r="A896" s="36"/>
      <c r="B896" s="37"/>
    </row>
    <row r="897">
      <c r="A897" s="36"/>
      <c r="B897" s="37"/>
    </row>
    <row r="898">
      <c r="A898" s="36"/>
      <c r="B898" s="37"/>
    </row>
    <row r="899">
      <c r="A899" s="36"/>
      <c r="B899" s="37"/>
    </row>
    <row r="900">
      <c r="A900" s="36"/>
      <c r="B900" s="37"/>
    </row>
    <row r="901">
      <c r="A901" s="36"/>
      <c r="B901" s="37"/>
    </row>
    <row r="902">
      <c r="A902" s="36"/>
      <c r="B902" s="37"/>
    </row>
    <row r="903">
      <c r="A903" s="36"/>
      <c r="B903" s="37"/>
    </row>
    <row r="904">
      <c r="A904" s="36"/>
      <c r="B904" s="37"/>
    </row>
    <row r="905">
      <c r="A905" s="36"/>
      <c r="B905" s="37"/>
    </row>
    <row r="906">
      <c r="A906" s="36"/>
      <c r="B906" s="37"/>
    </row>
    <row r="907">
      <c r="A907" s="36"/>
      <c r="B907" s="37"/>
    </row>
    <row r="908">
      <c r="A908" s="36"/>
      <c r="B908" s="37"/>
    </row>
    <row r="909">
      <c r="A909" s="36"/>
      <c r="B909" s="37"/>
    </row>
    <row r="910">
      <c r="A910" s="36"/>
      <c r="B910" s="37"/>
    </row>
    <row r="911">
      <c r="A911" s="36"/>
      <c r="B911" s="37"/>
    </row>
    <row r="912">
      <c r="A912" s="36"/>
      <c r="B912" s="37"/>
    </row>
    <row r="913">
      <c r="A913" s="36"/>
      <c r="B913" s="37"/>
    </row>
    <row r="914">
      <c r="A914" s="36"/>
      <c r="B914" s="37"/>
    </row>
    <row r="915">
      <c r="A915" s="36"/>
      <c r="B915" s="37"/>
    </row>
    <row r="916">
      <c r="A916" s="36"/>
      <c r="B916" s="37"/>
    </row>
    <row r="917">
      <c r="A917" s="36"/>
      <c r="B917" s="37"/>
    </row>
    <row r="918">
      <c r="A918" s="36"/>
      <c r="B918" s="37"/>
    </row>
    <row r="919">
      <c r="A919" s="36"/>
      <c r="B919" s="37"/>
    </row>
    <row r="920">
      <c r="A920" s="36"/>
      <c r="B920" s="37"/>
    </row>
    <row r="921">
      <c r="A921" s="36"/>
      <c r="B921" s="37"/>
    </row>
    <row r="922">
      <c r="A922" s="36"/>
      <c r="B922" s="37"/>
    </row>
    <row r="923">
      <c r="A923" s="36"/>
      <c r="B923" s="37"/>
    </row>
    <row r="924">
      <c r="A924" s="36"/>
      <c r="B924" s="37"/>
    </row>
    <row r="925">
      <c r="A925" s="36"/>
      <c r="B925" s="37"/>
    </row>
    <row r="926">
      <c r="A926" s="36"/>
      <c r="B926" s="37"/>
    </row>
    <row r="927">
      <c r="A927" s="36"/>
      <c r="B927" s="37"/>
    </row>
    <row r="928">
      <c r="A928" s="36"/>
      <c r="B928" s="37"/>
    </row>
    <row r="929">
      <c r="A929" s="36"/>
      <c r="B929" s="37"/>
    </row>
    <row r="930">
      <c r="A930" s="36"/>
      <c r="B930" s="37"/>
    </row>
    <row r="931">
      <c r="A931" s="36"/>
      <c r="B931" s="37"/>
    </row>
    <row r="932">
      <c r="A932" s="36"/>
      <c r="B932" s="37"/>
    </row>
    <row r="933">
      <c r="A933" s="36"/>
      <c r="B933" s="37"/>
    </row>
    <row r="934">
      <c r="A934" s="36"/>
      <c r="B934" s="37"/>
    </row>
    <row r="935">
      <c r="A935" s="36"/>
      <c r="B935" s="37"/>
    </row>
    <row r="936">
      <c r="A936" s="36"/>
      <c r="B936" s="37"/>
    </row>
    <row r="937">
      <c r="A937" s="36"/>
      <c r="B937" s="37"/>
    </row>
    <row r="938">
      <c r="A938" s="36"/>
      <c r="B938" s="37"/>
    </row>
    <row r="939">
      <c r="A939" s="36"/>
      <c r="B939" s="37"/>
    </row>
    <row r="940">
      <c r="A940" s="36"/>
      <c r="B940" s="37"/>
    </row>
    <row r="941">
      <c r="A941" s="36"/>
      <c r="B941" s="37"/>
    </row>
    <row r="942">
      <c r="A942" s="36"/>
      <c r="B942" s="37"/>
    </row>
    <row r="943">
      <c r="A943" s="36"/>
      <c r="B943" s="37"/>
    </row>
    <row r="944">
      <c r="A944" s="36"/>
      <c r="B944" s="37"/>
    </row>
    <row r="945">
      <c r="A945" s="36"/>
      <c r="B945" s="37"/>
    </row>
    <row r="946">
      <c r="A946" s="36"/>
      <c r="B946" s="37"/>
    </row>
    <row r="947">
      <c r="A947" s="36"/>
      <c r="B947" s="37"/>
    </row>
    <row r="948">
      <c r="A948" s="36"/>
      <c r="B948" s="37"/>
    </row>
    <row r="949">
      <c r="A949" s="36"/>
      <c r="B949" s="37"/>
    </row>
    <row r="950">
      <c r="A950" s="36"/>
      <c r="B950" s="37"/>
    </row>
    <row r="951">
      <c r="A951" s="36"/>
      <c r="B951" s="37"/>
    </row>
    <row r="952">
      <c r="A952" s="36"/>
      <c r="B952" s="37"/>
    </row>
    <row r="953">
      <c r="A953" s="36"/>
      <c r="B953" s="37"/>
    </row>
    <row r="954">
      <c r="A954" s="36"/>
      <c r="B954" s="37"/>
    </row>
    <row r="955">
      <c r="A955" s="36"/>
      <c r="B955" s="37"/>
    </row>
    <row r="956">
      <c r="A956" s="36"/>
      <c r="B956" s="37"/>
    </row>
    <row r="957">
      <c r="A957" s="36"/>
      <c r="B957" s="37"/>
    </row>
    <row r="958">
      <c r="A958" s="36"/>
      <c r="B958" s="37"/>
    </row>
    <row r="959">
      <c r="A959" s="36"/>
      <c r="B959" s="37"/>
    </row>
    <row r="960">
      <c r="A960" s="36"/>
      <c r="B960" s="37"/>
    </row>
    <row r="961">
      <c r="A961" s="36"/>
      <c r="B961" s="37"/>
    </row>
    <row r="962">
      <c r="A962" s="36"/>
      <c r="B962" s="37"/>
    </row>
    <row r="963">
      <c r="A963" s="36"/>
      <c r="B963" s="37"/>
    </row>
    <row r="964">
      <c r="A964" s="36"/>
      <c r="B964" s="37"/>
    </row>
    <row r="965">
      <c r="A965" s="36"/>
      <c r="B965" s="37"/>
    </row>
    <row r="966">
      <c r="A966" s="36"/>
      <c r="B966" s="37"/>
    </row>
    <row r="967">
      <c r="A967" s="36"/>
      <c r="B967" s="37"/>
    </row>
    <row r="968">
      <c r="A968" s="36"/>
      <c r="B968" s="37"/>
    </row>
    <row r="969">
      <c r="A969" s="36"/>
      <c r="B969" s="37"/>
    </row>
    <row r="970">
      <c r="A970" s="36"/>
      <c r="B970" s="37"/>
    </row>
    <row r="971">
      <c r="A971" s="36"/>
      <c r="B971" s="37"/>
    </row>
    <row r="972">
      <c r="A972" s="36"/>
      <c r="B972" s="37"/>
    </row>
    <row r="973">
      <c r="A973" s="36"/>
      <c r="B973" s="37"/>
    </row>
    <row r="974">
      <c r="A974" s="36"/>
      <c r="B974" s="37"/>
    </row>
    <row r="975">
      <c r="A975" s="36"/>
      <c r="B975" s="37"/>
    </row>
    <row r="976">
      <c r="A976" s="36"/>
      <c r="B976" s="37"/>
    </row>
    <row r="977">
      <c r="A977" s="36"/>
      <c r="B977" s="37"/>
    </row>
    <row r="978">
      <c r="A978" s="36"/>
      <c r="B978" s="37"/>
    </row>
    <row r="979">
      <c r="A979" s="36"/>
      <c r="B979" s="37"/>
    </row>
    <row r="980">
      <c r="A980" s="36"/>
      <c r="B980" s="37"/>
    </row>
    <row r="981">
      <c r="A981" s="36"/>
      <c r="B981" s="37"/>
    </row>
    <row r="982">
      <c r="A982" s="36"/>
      <c r="B982" s="37"/>
    </row>
    <row r="983">
      <c r="A983" s="36"/>
      <c r="B983" s="37"/>
    </row>
    <row r="984">
      <c r="A984" s="36"/>
      <c r="B984" s="37"/>
    </row>
    <row r="985">
      <c r="A985" s="36"/>
      <c r="B985" s="37"/>
    </row>
    <row r="986">
      <c r="A986" s="36"/>
      <c r="B986" s="37"/>
    </row>
    <row r="987">
      <c r="A987" s="36"/>
      <c r="B987" s="37"/>
    </row>
    <row r="988">
      <c r="A988" s="36"/>
      <c r="B988" s="37"/>
    </row>
    <row r="989">
      <c r="A989" s="36"/>
      <c r="B989" s="37"/>
    </row>
    <row r="990">
      <c r="A990" s="36"/>
      <c r="B990" s="37"/>
    </row>
    <row r="991">
      <c r="A991" s="36"/>
      <c r="B991" s="37"/>
    </row>
    <row r="992">
      <c r="A992" s="36"/>
      <c r="B992" s="37"/>
    </row>
    <row r="993">
      <c r="A993" s="36"/>
      <c r="B993" s="37"/>
    </row>
    <row r="994">
      <c r="A994" s="36"/>
      <c r="B994" s="37"/>
    </row>
    <row r="995">
      <c r="A995" s="36"/>
      <c r="B995" s="37"/>
    </row>
    <row r="996">
      <c r="A996" s="36"/>
      <c r="B996" s="37"/>
    </row>
    <row r="997">
      <c r="A997" s="36"/>
      <c r="B997" s="37"/>
    </row>
    <row r="998">
      <c r="A998" s="36"/>
      <c r="B998" s="37"/>
    </row>
    <row r="999">
      <c r="A999" s="36"/>
      <c r="B999" s="37"/>
    </row>
    <row r="1000">
      <c r="A1000" s="36"/>
      <c r="B1000" s="3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7.38"/>
  </cols>
  <sheetData>
    <row r="23">
      <c r="B23" s="3" t="s">
        <v>522</v>
      </c>
      <c r="C23" s="19">
        <v>0.5497772274991009</v>
      </c>
      <c r="D23" s="22" t="s">
        <v>523</v>
      </c>
      <c r="E23" s="23">
        <v>1455920.95</v>
      </c>
      <c r="G23" s="3" t="s">
        <v>524</v>
      </c>
      <c r="H23" s="19">
        <v>1.4936708860759493</v>
      </c>
      <c r="I23" s="3" t="s">
        <v>525</v>
      </c>
    </row>
    <row r="24">
      <c r="C24" s="21">
        <f>C23*100</f>
        <v>54.97772275</v>
      </c>
      <c r="D24" s="3" t="s">
        <v>526</v>
      </c>
      <c r="H24" s="19">
        <v>1.7608695652173914</v>
      </c>
      <c r="I24" s="3" t="s">
        <v>527</v>
      </c>
    </row>
    <row r="48">
      <c r="I48" s="3" t="s">
        <v>528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0"/>
    <col customWidth="1" min="3" max="3" width="41.38"/>
    <col customWidth="1" min="4" max="6" width="27.0"/>
    <col customWidth="1" min="8" max="8" width="46.13"/>
    <col customWidth="1" min="9" max="9" width="14.75"/>
    <col customWidth="1" min="11" max="11" width="41.38"/>
    <col customWidth="1" min="13" max="13" width="27.0"/>
    <col customWidth="1" min="15" max="15" width="46.13"/>
    <col customWidth="1" min="16" max="16" width="14.75"/>
    <col customWidth="1" min="18" max="18" width="40.75"/>
    <col customWidth="1" min="19" max="19" width="12.38"/>
    <col customWidth="1" min="21" max="21" width="40.38"/>
    <col customWidth="1" min="34" max="34" width="50.13"/>
    <col customWidth="1" min="35" max="35" width="25.25"/>
    <col customWidth="1" min="46" max="46" width="43.5"/>
    <col customWidth="1" min="47" max="47" width="24.0"/>
  </cols>
  <sheetData>
    <row r="1">
      <c r="A1" s="1" t="s">
        <v>0</v>
      </c>
      <c r="B1" s="38" t="s">
        <v>1</v>
      </c>
      <c r="C1" s="3" t="s">
        <v>2</v>
      </c>
      <c r="D1" s="39" t="s">
        <v>3</v>
      </c>
      <c r="E1" s="2" t="s">
        <v>4</v>
      </c>
      <c r="F1" s="2" t="s">
        <v>5</v>
      </c>
      <c r="K1" s="3" t="s">
        <v>2</v>
      </c>
      <c r="L1" s="3" t="s">
        <v>529</v>
      </c>
      <c r="M1" s="2" t="s">
        <v>4</v>
      </c>
      <c r="R1" s="19" t="str">
        <f>IFERROR(__xludf.DUMMYFUNCTION("QUERY('Copy of John 1'!C:E, ""SELECT C, SUM(E) WHERE C IS NOT NULL GROUP BY C ORDER BY SUM(E) DESC LIMIT 5"", 1)"),"CustomerName")</f>
        <v>CustomerName</v>
      </c>
      <c r="S1" s="19" t="str">
        <f>IFERROR(__xludf.DUMMYFUNCTION("""COMPUTED_VALUE"""),"sum OrderTotal")</f>
        <v>sum OrderTotal</v>
      </c>
      <c r="U1" s="19" t="s">
        <v>2</v>
      </c>
      <c r="V1" s="19" t="s">
        <v>530</v>
      </c>
      <c r="AT1" s="19" t="str">
        <f>IFERROR(__xludf.DUMMYFUNCTION("QUERY(AH2:AJ239, ""SELECT AH, AJ WHERE AI &gt; 0 ORDER BY AH DESC"", 1)"),"AFP &amp; POLICE SAVINGS LOAN ASSN (AFPSLAI)")</f>
        <v>AFP &amp; POLICE SAVINGS LOAN ASSN (AFPSLAI)</v>
      </c>
      <c r="AU1" s="19" t="str">
        <f>IFERROR(__xludf.DUMMYFUNCTION("""COMPUTED_VALUE"""),"1")</f>
        <v>1</v>
      </c>
    </row>
    <row r="2">
      <c r="A2" s="1" t="s">
        <v>6</v>
      </c>
      <c r="B2" s="38" t="s">
        <v>532</v>
      </c>
      <c r="C2" s="3" t="s">
        <v>7</v>
      </c>
      <c r="D2" s="39">
        <v>45250.0</v>
      </c>
      <c r="E2" s="2">
        <v>4372.25</v>
      </c>
      <c r="F2" s="2" t="s">
        <v>9</v>
      </c>
      <c r="K2" s="3" t="s">
        <v>7</v>
      </c>
      <c r="L2" s="40" t="str">
        <f t="array" ref="L2:L201">text(D2:D201,"mmmm")</f>
        <v>November</v>
      </c>
      <c r="M2" s="2">
        <v>4372.25</v>
      </c>
      <c r="R2" s="19" t="str">
        <f>IFERROR(__xludf.DUMMYFUNCTION("""COMPUTED_VALUE"""),"MUNICIPALITY OF LUPON - LGU")</f>
        <v>MUNICIPALITY OF LUPON - LGU</v>
      </c>
      <c r="S2" s="19">
        <f>IFERROR(__xludf.DUMMYFUNCTION("""COMPUTED_VALUE"""),636382.0)</f>
        <v>636382</v>
      </c>
      <c r="U2" s="19" t="s">
        <v>359</v>
      </c>
      <c r="V2" s="19">
        <v>21.0</v>
      </c>
      <c r="AL2" s="19" t="str">
        <f>IFERROR(__xludf.DUMMYFUNCTION("QUERY(AH1:AJ1000)"),"CustomerName")</f>
        <v>CustomerName</v>
      </c>
      <c r="AM2" s="19" t="str">
        <f>IFERROR(__xludf.DUMMYFUNCTION("""COMPUTED_VALUE"""),"month")</f>
        <v>month</v>
      </c>
      <c r="AN2" s="19" t="str">
        <f>IFERROR(__xludf.DUMMYFUNCTION("""COMPUTED_VALUE"""),"COUNTA of month")</f>
        <v>COUNTA of month</v>
      </c>
      <c r="AP2" s="19" t="str">
        <f>IFERROR(__xludf.DUMMYFUNCTION("QUERY(AH1:AJ239)"),"CustomerName")</f>
        <v>CustomerName</v>
      </c>
      <c r="AQ2" s="19" t="str">
        <f>IFERROR(__xludf.DUMMYFUNCTION("""COMPUTED_VALUE"""),"month")</f>
        <v>month</v>
      </c>
      <c r="AR2" s="19" t="str">
        <f>IFERROR(__xludf.DUMMYFUNCTION("""COMPUTED_VALUE"""),"COUNTA of month")</f>
        <v>COUNTA of month</v>
      </c>
    </row>
    <row r="3">
      <c r="A3" s="1" t="s">
        <v>10</v>
      </c>
      <c r="B3" s="38" t="s">
        <v>534</v>
      </c>
      <c r="C3" s="3" t="s">
        <v>11</v>
      </c>
      <c r="D3" s="39">
        <v>45294.0</v>
      </c>
      <c r="E3" s="2">
        <v>1362.0</v>
      </c>
      <c r="F3" s="2" t="s">
        <v>13</v>
      </c>
      <c r="K3" s="3" t="s">
        <v>11</v>
      </c>
      <c r="L3" s="19" t="s">
        <v>535</v>
      </c>
      <c r="M3" s="2">
        <v>1362.0</v>
      </c>
      <c r="R3" s="19" t="str">
        <f>IFERROR(__xludf.DUMMYFUNCTION("""COMPUTED_VALUE"""),"AMERICARES FOUNDATION INC.")</f>
        <v>AMERICARES FOUNDATION INC.</v>
      </c>
      <c r="S3" s="19">
        <f>IFERROR(__xludf.DUMMYFUNCTION("""COMPUTED_VALUE"""),365925.0)</f>
        <v>365925</v>
      </c>
      <c r="U3" s="19" t="s">
        <v>15</v>
      </c>
      <c r="V3" s="19">
        <v>14.0</v>
      </c>
      <c r="AL3" s="19" t="str">
        <f>IFERROR(__xludf.DUMMYFUNCTION("""COMPUTED_VALUE"""),"AFP &amp; POLICE SAVINGS LOAN ASSN (AFPSLAI)")</f>
        <v>AFP &amp; POLICE SAVINGS LOAN ASSN (AFPSLAI)</v>
      </c>
      <c r="AM3" s="19" t="str">
        <f>IFERROR(__xludf.DUMMYFUNCTION("""COMPUTED_VALUE"""),"February")</f>
        <v>February</v>
      </c>
      <c r="AN3" s="19">
        <f>IFERROR(__xludf.DUMMYFUNCTION("""COMPUTED_VALUE"""),1.0)</f>
        <v>1</v>
      </c>
      <c r="AP3" s="19" t="str">
        <f>IFERROR(__xludf.DUMMYFUNCTION("""COMPUTED_VALUE"""),"AFP &amp; POLICE SAVINGS LOAN ASSN (AFPSLAI)")</f>
        <v>AFP &amp; POLICE SAVINGS LOAN ASSN (AFPSLAI)</v>
      </c>
      <c r="AQ3" s="19" t="str">
        <f>IFERROR(__xludf.DUMMYFUNCTION("""COMPUTED_VALUE"""),"February")</f>
        <v>February</v>
      </c>
      <c r="AR3" s="19">
        <f>IFERROR(__xludf.DUMMYFUNCTION("""COMPUTED_VALUE"""),1.0)</f>
        <v>1</v>
      </c>
      <c r="AT3" s="19" t="str">
        <f>IFERROR(__xludf.DUMMYFUNCTION("QUERY('Copy of John 1'!K1:M201, ""SELECT K, COUNT(M) WHERE K IS NOT NULL GROUP BY K ORDER BY COUNT(M) DESC LIMIT 5"", 1)"),"CustomerName")</f>
        <v>CustomerName</v>
      </c>
      <c r="AU3" s="19" t="str">
        <f>IFERROR(__xludf.DUMMYFUNCTION("""COMPUTED_VALUE"""),"count OrderTotal")</f>
        <v>count OrderTotal</v>
      </c>
    </row>
    <row r="4">
      <c r="A4" s="1" t="s">
        <v>14</v>
      </c>
      <c r="B4" s="38" t="s">
        <v>537</v>
      </c>
      <c r="C4" s="3" t="s">
        <v>15</v>
      </c>
      <c r="D4" s="39">
        <v>45294.0</v>
      </c>
      <c r="E4" s="2">
        <v>1500.0</v>
      </c>
      <c r="F4" s="2" t="s">
        <v>13</v>
      </c>
      <c r="K4" s="3" t="s">
        <v>15</v>
      </c>
      <c r="L4" s="19" t="s">
        <v>535</v>
      </c>
      <c r="M4" s="2">
        <v>1500.0</v>
      </c>
      <c r="R4" s="19" t="str">
        <f>IFERROR(__xludf.DUMMYFUNCTION("""COMPUTED_VALUE"""),"STENIEL MINDANAO PACKAGING CORPORATION")</f>
        <v>STENIEL MINDANAO PACKAGING CORPORATION</v>
      </c>
      <c r="S4" s="19">
        <f>IFERROR(__xludf.DUMMYFUNCTION("""COMPUTED_VALUE"""),248363.5)</f>
        <v>248363.5</v>
      </c>
      <c r="U4" s="19" t="s">
        <v>119</v>
      </c>
      <c r="V4" s="19">
        <v>6.0</v>
      </c>
      <c r="AL4" s="19" t="str">
        <f>IFERROR(__xludf.DUMMYFUNCTION("""COMPUTED_VALUE"""),"AFP &amp; POLICE SAVINGS LOAN ASSN (AFPSLAI) Total")</f>
        <v>AFP &amp; POLICE SAVINGS LOAN ASSN (AFPSLAI) Total</v>
      </c>
      <c r="AM4" s="19"/>
      <c r="AN4" s="19">
        <f>IFERROR(__xludf.DUMMYFUNCTION("""COMPUTED_VALUE"""),1.0)</f>
        <v>1</v>
      </c>
      <c r="AP4" s="19" t="str">
        <f>IFERROR(__xludf.DUMMYFUNCTION("""COMPUTED_VALUE"""),"AFP &amp; POLICE SAVINGS LOAN ASSN (AFPSLAI) Total")</f>
        <v>AFP &amp; POLICE SAVINGS LOAN ASSN (AFPSLAI) Total</v>
      </c>
      <c r="AQ4" s="19"/>
      <c r="AR4" s="19">
        <f>IFERROR(__xludf.DUMMYFUNCTION("""COMPUTED_VALUE"""),1.0)</f>
        <v>1</v>
      </c>
      <c r="AT4" s="19" t="str">
        <f>IFERROR(__xludf.DUMMYFUNCTION("""COMPUTED_VALUE"""),"MUNICIPALITY OF LUPON - LGU")</f>
        <v>MUNICIPALITY OF LUPON - LGU</v>
      </c>
      <c r="AU4" s="19">
        <f>IFERROR(__xludf.DUMMYFUNCTION("""COMPUTED_VALUE"""),21.0)</f>
        <v>21</v>
      </c>
    </row>
    <row r="5">
      <c r="A5" s="1" t="s">
        <v>17</v>
      </c>
      <c r="B5" s="38" t="s">
        <v>538</v>
      </c>
      <c r="C5" s="3" t="s">
        <v>18</v>
      </c>
      <c r="D5" s="39">
        <v>45294.0</v>
      </c>
      <c r="E5" s="2">
        <v>4372.25</v>
      </c>
      <c r="F5" s="2" t="s">
        <v>13</v>
      </c>
      <c r="K5" s="3" t="s">
        <v>18</v>
      </c>
      <c r="L5" s="19" t="s">
        <v>535</v>
      </c>
      <c r="M5" s="2">
        <v>4372.25</v>
      </c>
      <c r="R5" s="19" t="str">
        <f>IFERROR(__xludf.DUMMYFUNCTION("""COMPUTED_VALUE"""),"DEPT. OF HUMAN SETTLEMENTS &amp; URBAN DEV'T")</f>
        <v>DEPT. OF HUMAN SETTLEMENTS &amp; URBAN DEV'T</v>
      </c>
      <c r="S5" s="19">
        <f>IFERROR(__xludf.DUMMYFUNCTION("""COMPUTED_VALUE"""),146676.0)</f>
        <v>146676</v>
      </c>
      <c r="U5" s="19" t="s">
        <v>93</v>
      </c>
      <c r="V5" s="19">
        <v>6.0</v>
      </c>
      <c r="AL5" s="19" t="str">
        <f>IFERROR(__xludf.DUMMYFUNCTION("""COMPUTED_VALUE"""),"AGRI DAVAO INCORPORATED")</f>
        <v>AGRI DAVAO INCORPORATED</v>
      </c>
      <c r="AM5" s="19" t="str">
        <f>IFERROR(__xludf.DUMMYFUNCTION("""COMPUTED_VALUE"""),"February")</f>
        <v>February</v>
      </c>
      <c r="AN5" s="19">
        <f>IFERROR(__xludf.DUMMYFUNCTION("""COMPUTED_VALUE"""),1.0)</f>
        <v>1</v>
      </c>
      <c r="AP5" s="19" t="str">
        <f>IFERROR(__xludf.DUMMYFUNCTION("""COMPUTED_VALUE"""),"AGRI DAVAO INCORPORATED")</f>
        <v>AGRI DAVAO INCORPORATED</v>
      </c>
      <c r="AQ5" s="19" t="str">
        <f>IFERROR(__xludf.DUMMYFUNCTION("""COMPUTED_VALUE"""),"February")</f>
        <v>February</v>
      </c>
      <c r="AR5" s="19">
        <f>IFERROR(__xludf.DUMMYFUNCTION("""COMPUTED_VALUE"""),1.0)</f>
        <v>1</v>
      </c>
      <c r="AT5" s="19" t="str">
        <f>IFERROR(__xludf.DUMMYFUNCTION("""COMPUTED_VALUE"""),"STENIEL MINDANAO PACKAGING CORPORATION")</f>
        <v>STENIEL MINDANAO PACKAGING CORPORATION</v>
      </c>
      <c r="AU5" s="19">
        <f>IFERROR(__xludf.DUMMYFUNCTION("""COMPUTED_VALUE"""),14.0)</f>
        <v>14</v>
      </c>
    </row>
    <row r="6">
      <c r="A6" s="1" t="s">
        <v>20</v>
      </c>
      <c r="B6" s="38" t="s">
        <v>539</v>
      </c>
      <c r="C6" s="3" t="s">
        <v>21</v>
      </c>
      <c r="D6" s="39">
        <v>45294.0</v>
      </c>
      <c r="E6" s="2">
        <v>2148.8</v>
      </c>
      <c r="F6" s="2" t="s">
        <v>13</v>
      </c>
      <c r="K6" s="3" t="s">
        <v>21</v>
      </c>
      <c r="L6" s="19" t="s">
        <v>535</v>
      </c>
      <c r="M6" s="2">
        <v>2148.8</v>
      </c>
      <c r="R6" s="19" t="str">
        <f>IFERROR(__xludf.DUMMYFUNCTION("""COMPUTED_VALUE"""),"EC GONZAGA ENTERPRISES")</f>
        <v>EC GONZAGA ENTERPRISES</v>
      </c>
      <c r="S6" s="19">
        <f>IFERROR(__xludf.DUMMYFUNCTION("""COMPUTED_VALUE"""),58574.45)</f>
        <v>58574.45</v>
      </c>
      <c r="U6" s="19" t="s">
        <v>57</v>
      </c>
      <c r="V6" s="19">
        <v>5.0</v>
      </c>
      <c r="AL6" s="19"/>
      <c r="AM6" s="19" t="str">
        <f>IFERROR(__xludf.DUMMYFUNCTION("""COMPUTED_VALUE"""),"January")</f>
        <v>January</v>
      </c>
      <c r="AN6" s="19">
        <f>IFERROR(__xludf.DUMMYFUNCTION("""COMPUTED_VALUE"""),1.0)</f>
        <v>1</v>
      </c>
      <c r="AP6" s="19"/>
      <c r="AQ6" s="19" t="str">
        <f>IFERROR(__xludf.DUMMYFUNCTION("""COMPUTED_VALUE"""),"January")</f>
        <v>January</v>
      </c>
      <c r="AR6" s="19">
        <f>IFERROR(__xludf.DUMMYFUNCTION("""COMPUTED_VALUE"""),1.0)</f>
        <v>1</v>
      </c>
      <c r="AT6" s="19" t="str">
        <f>IFERROR(__xludf.DUMMYFUNCTION("""COMPUTED_VALUE"""),"CIVIL SERVICE COMMISSION-REG. XI")</f>
        <v>CIVIL SERVICE COMMISSION-REG. XI</v>
      </c>
      <c r="AU6" s="19">
        <f>IFERROR(__xludf.DUMMYFUNCTION("""COMPUTED_VALUE"""),6.0)</f>
        <v>6</v>
      </c>
    </row>
    <row r="7">
      <c r="A7" s="1" t="s">
        <v>23</v>
      </c>
      <c r="B7" s="38" t="s">
        <v>541</v>
      </c>
      <c r="C7" s="3" t="s">
        <v>24</v>
      </c>
      <c r="D7" s="39">
        <v>45294.0</v>
      </c>
      <c r="E7" s="2">
        <v>2365.8</v>
      </c>
      <c r="F7" s="2" t="s">
        <v>13</v>
      </c>
      <c r="K7" s="3" t="s">
        <v>24</v>
      </c>
      <c r="L7" s="19" t="s">
        <v>535</v>
      </c>
      <c r="M7" s="2">
        <v>2365.8</v>
      </c>
      <c r="AL7" s="19" t="str">
        <f>IFERROR(__xludf.DUMMYFUNCTION("""COMPUTED_VALUE"""),"AGRI DAVAO INCORPORATED Total")</f>
        <v>AGRI DAVAO INCORPORATED Total</v>
      </c>
      <c r="AM7" s="19"/>
      <c r="AN7" s="19">
        <f>IFERROR(__xludf.DUMMYFUNCTION("""COMPUTED_VALUE"""),2.0)</f>
        <v>2</v>
      </c>
      <c r="AP7" s="19" t="str">
        <f>IFERROR(__xludf.DUMMYFUNCTION("""COMPUTED_VALUE"""),"AGRI DAVAO INCORPORATED Total")</f>
        <v>AGRI DAVAO INCORPORATED Total</v>
      </c>
      <c r="AQ7" s="19"/>
      <c r="AR7" s="19">
        <f>IFERROR(__xludf.DUMMYFUNCTION("""COMPUTED_VALUE"""),2.0)</f>
        <v>2</v>
      </c>
      <c r="AT7" s="19" t="str">
        <f>IFERROR(__xludf.DUMMYFUNCTION("""COMPUTED_VALUE"""),"EC GONZAGA ENTERPRISES")</f>
        <v>EC GONZAGA ENTERPRISES</v>
      </c>
      <c r="AU7" s="19">
        <f>IFERROR(__xludf.DUMMYFUNCTION("""COMPUTED_VALUE"""),6.0)</f>
        <v>6</v>
      </c>
    </row>
    <row r="8">
      <c r="A8" s="1" t="s">
        <v>26</v>
      </c>
      <c r="B8" s="38" t="s">
        <v>537</v>
      </c>
      <c r="C8" s="3" t="s">
        <v>15</v>
      </c>
      <c r="D8" s="39">
        <v>45294.0</v>
      </c>
      <c r="E8" s="2">
        <v>2367.5</v>
      </c>
      <c r="F8" s="2" t="s">
        <v>13</v>
      </c>
      <c r="K8" s="3" t="s">
        <v>15</v>
      </c>
      <c r="L8" s="19" t="s">
        <v>535</v>
      </c>
      <c r="M8" s="2">
        <v>2367.5</v>
      </c>
      <c r="T8" s="19">
        <f>sum(S2:S6)</f>
        <v>1455920.95</v>
      </c>
      <c r="AL8" s="19" t="str">
        <f>IFERROR(__xludf.DUMMYFUNCTION("""COMPUTED_VALUE"""),"AKTIV MULTI TRADING CO. PHILS. INC.")</f>
        <v>AKTIV MULTI TRADING CO. PHILS. INC.</v>
      </c>
      <c r="AM8" s="19" t="str">
        <f>IFERROR(__xludf.DUMMYFUNCTION("""COMPUTED_VALUE"""),"January")</f>
        <v>January</v>
      </c>
      <c r="AN8" s="19">
        <f>IFERROR(__xludf.DUMMYFUNCTION("""COMPUTED_VALUE"""),1.0)</f>
        <v>1</v>
      </c>
      <c r="AP8" s="19" t="str">
        <f>IFERROR(__xludf.DUMMYFUNCTION("""COMPUTED_VALUE"""),"AKTIV MULTI TRADING CO. PHILS. INC.")</f>
        <v>AKTIV MULTI TRADING CO. PHILS. INC.</v>
      </c>
      <c r="AQ8" s="19" t="str">
        <f>IFERROR(__xludf.DUMMYFUNCTION("""COMPUTED_VALUE"""),"January")</f>
        <v>January</v>
      </c>
      <c r="AR8" s="19">
        <f>IFERROR(__xludf.DUMMYFUNCTION("""COMPUTED_VALUE"""),1.0)</f>
        <v>1</v>
      </c>
      <c r="AT8" s="19" t="str">
        <f>IFERROR(__xludf.DUMMYFUNCTION("""COMPUTED_VALUE"""),"ANTONIO'S GRILL")</f>
        <v>ANTONIO'S GRILL</v>
      </c>
      <c r="AU8" s="19">
        <f>IFERROR(__xludf.DUMMYFUNCTION("""COMPUTED_VALUE"""),5.0)</f>
        <v>5</v>
      </c>
    </row>
    <row r="9">
      <c r="A9" s="1" t="s">
        <v>28</v>
      </c>
      <c r="B9" s="38" t="s">
        <v>543</v>
      </c>
      <c r="C9" s="3" t="s">
        <v>29</v>
      </c>
      <c r="D9" s="39">
        <v>45294.0</v>
      </c>
      <c r="E9" s="2">
        <v>38256.0</v>
      </c>
      <c r="F9" s="2" t="s">
        <v>9</v>
      </c>
      <c r="K9" s="3" t="s">
        <v>29</v>
      </c>
      <c r="L9" s="19" t="s">
        <v>535</v>
      </c>
      <c r="M9" s="2">
        <v>38256.0</v>
      </c>
      <c r="AL9" s="19" t="str">
        <f>IFERROR(__xludf.DUMMYFUNCTION("""COMPUTED_VALUE"""),"AKTIV MULTI TRADING CO. PHILS. INC. Total")</f>
        <v>AKTIV MULTI TRADING CO. PHILS. INC. Total</v>
      </c>
      <c r="AM9" s="19"/>
      <c r="AN9" s="19">
        <f>IFERROR(__xludf.DUMMYFUNCTION("""COMPUTED_VALUE"""),1.0)</f>
        <v>1</v>
      </c>
      <c r="AP9" s="19" t="str">
        <f>IFERROR(__xludf.DUMMYFUNCTION("""COMPUTED_VALUE"""),"AKTIV MULTI TRADING CO. PHILS. INC. Total")</f>
        <v>AKTIV MULTI TRADING CO. PHILS. INC. Total</v>
      </c>
      <c r="AQ9" s="19"/>
      <c r="AR9" s="19">
        <f>IFERROR(__xludf.DUMMYFUNCTION("""COMPUTED_VALUE"""),1.0)</f>
        <v>1</v>
      </c>
    </row>
    <row r="10">
      <c r="A10" s="1" t="s">
        <v>31</v>
      </c>
      <c r="B10" s="38" t="s">
        <v>544</v>
      </c>
      <c r="C10" s="3" t="s">
        <v>32</v>
      </c>
      <c r="D10" s="39">
        <v>45295.0</v>
      </c>
      <c r="E10" s="2">
        <v>1500.0</v>
      </c>
      <c r="F10" s="2" t="s">
        <v>9</v>
      </c>
      <c r="K10" s="3" t="s">
        <v>32</v>
      </c>
      <c r="L10" s="19" t="s">
        <v>535</v>
      </c>
      <c r="M10" s="2">
        <v>1500.0</v>
      </c>
      <c r="AL10" s="19" t="str">
        <f>IFERROR(__xludf.DUMMYFUNCTION("""COMPUTED_VALUE"""),"AMALGATED CAPITAL INCORPORATED")</f>
        <v>AMALGATED CAPITAL INCORPORATED</v>
      </c>
      <c r="AM10" s="19" t="str">
        <f>IFERROR(__xludf.DUMMYFUNCTION("""COMPUTED_VALUE"""),"February")</f>
        <v>February</v>
      </c>
      <c r="AN10" s="19">
        <f>IFERROR(__xludf.DUMMYFUNCTION("""COMPUTED_VALUE"""),3.0)</f>
        <v>3</v>
      </c>
      <c r="AP10" s="19" t="str">
        <f>IFERROR(__xludf.DUMMYFUNCTION("""COMPUTED_VALUE"""),"AMALGATED CAPITAL INCORPORATED")</f>
        <v>AMALGATED CAPITAL INCORPORATED</v>
      </c>
      <c r="AQ10" s="19" t="str">
        <f>IFERROR(__xludf.DUMMYFUNCTION("""COMPUTED_VALUE"""),"February")</f>
        <v>February</v>
      </c>
      <c r="AR10" s="19">
        <f>IFERROR(__xludf.DUMMYFUNCTION("""COMPUTED_VALUE"""),3.0)</f>
        <v>3</v>
      </c>
      <c r="AT10" s="19" t="str">
        <f>IFERROR(__xludf.DUMMYFUNCTION("QUERY('Copy of John 1'!K1:M201, ""SELECT K, COUNT(M) WHERE K IS NOT NULL AND L = 'January' GROUP BY K ORDER BY COUNT(M) DESC LIMIT 5"", 1)"),"CustomerName")</f>
        <v>CustomerName</v>
      </c>
      <c r="AU10" s="19" t="str">
        <f>IFERROR(__xludf.DUMMYFUNCTION("""COMPUTED_VALUE"""),"count OrderTotal")</f>
        <v>count OrderTotal</v>
      </c>
    </row>
    <row r="11">
      <c r="A11" s="1" t="s">
        <v>33</v>
      </c>
      <c r="B11" s="38" t="s">
        <v>546</v>
      </c>
      <c r="C11" s="3" t="s">
        <v>34</v>
      </c>
      <c r="D11" s="39">
        <v>45295.0</v>
      </c>
      <c r="E11" s="2">
        <v>1600.0</v>
      </c>
      <c r="F11" s="2" t="s">
        <v>13</v>
      </c>
      <c r="K11" s="3" t="s">
        <v>34</v>
      </c>
      <c r="L11" s="19" t="s">
        <v>535</v>
      </c>
      <c r="M11" s="2">
        <v>1600.0</v>
      </c>
      <c r="AL11" s="19" t="str">
        <f>IFERROR(__xludf.DUMMYFUNCTION("""COMPUTED_VALUE"""),"AMALGATED CAPITAL INCORPORATED Total")</f>
        <v>AMALGATED CAPITAL INCORPORATED Total</v>
      </c>
      <c r="AM11" s="19"/>
      <c r="AN11" s="19">
        <f>IFERROR(__xludf.DUMMYFUNCTION("""COMPUTED_VALUE"""),3.0)</f>
        <v>3</v>
      </c>
      <c r="AP11" s="19" t="str">
        <f>IFERROR(__xludf.DUMMYFUNCTION("""COMPUTED_VALUE"""),"AMALGATED CAPITAL INCORPORATED Total")</f>
        <v>AMALGATED CAPITAL INCORPORATED Total</v>
      </c>
      <c r="AQ11" s="19"/>
      <c r="AR11" s="19">
        <f>IFERROR(__xludf.DUMMYFUNCTION("""COMPUTED_VALUE"""),3.0)</f>
        <v>3</v>
      </c>
      <c r="AT11" s="19" t="str">
        <f>IFERROR(__xludf.DUMMYFUNCTION("""COMPUTED_VALUE"""),"STENIEL MINDANAO PACKAGING CORPORATION")</f>
        <v>STENIEL MINDANAO PACKAGING CORPORATION</v>
      </c>
      <c r="AU11" s="19">
        <f>IFERROR(__xludf.DUMMYFUNCTION("""COMPUTED_VALUE"""),9.0)</f>
        <v>9</v>
      </c>
    </row>
    <row r="12">
      <c r="A12" s="1" t="s">
        <v>36</v>
      </c>
      <c r="B12" s="38" t="s">
        <v>547</v>
      </c>
      <c r="C12" s="3" t="s">
        <v>37</v>
      </c>
      <c r="D12" s="39">
        <v>45295.0</v>
      </c>
      <c r="E12" s="2">
        <v>4762.1</v>
      </c>
      <c r="F12" s="2" t="s">
        <v>13</v>
      </c>
      <c r="K12" s="3" t="s">
        <v>37</v>
      </c>
      <c r="L12" s="19" t="s">
        <v>535</v>
      </c>
      <c r="M12" s="2">
        <v>4762.1</v>
      </c>
      <c r="AL12" s="19" t="str">
        <f>IFERROR(__xludf.DUMMYFUNCTION("""COMPUTED_VALUE"""),"AMERICARES FOUNDATION INC.")</f>
        <v>AMERICARES FOUNDATION INC.</v>
      </c>
      <c r="AM12" s="19" t="str">
        <f>IFERROR(__xludf.DUMMYFUNCTION("""COMPUTED_VALUE"""),"January")</f>
        <v>January</v>
      </c>
      <c r="AN12" s="19">
        <f>IFERROR(__xludf.DUMMYFUNCTION("""COMPUTED_VALUE"""),1.0)</f>
        <v>1</v>
      </c>
      <c r="AP12" s="19" t="str">
        <f>IFERROR(__xludf.DUMMYFUNCTION("""COMPUTED_VALUE"""),"AMERICARES FOUNDATION INC.")</f>
        <v>AMERICARES FOUNDATION INC.</v>
      </c>
      <c r="AQ12" s="19" t="str">
        <f>IFERROR(__xludf.DUMMYFUNCTION("""COMPUTED_VALUE"""),"January")</f>
        <v>January</v>
      </c>
      <c r="AR12" s="19">
        <f>IFERROR(__xludf.DUMMYFUNCTION("""COMPUTED_VALUE"""),1.0)</f>
        <v>1</v>
      </c>
      <c r="AT12" s="19" t="str">
        <f>IFERROR(__xludf.DUMMYFUNCTION("""COMPUTED_VALUE"""),"ANTONIO'S GRILL")</f>
        <v>ANTONIO'S GRILL</v>
      </c>
      <c r="AU12" s="19">
        <f>IFERROR(__xludf.DUMMYFUNCTION("""COMPUTED_VALUE"""),5.0)</f>
        <v>5</v>
      </c>
    </row>
    <row r="13">
      <c r="A13" s="1" t="s">
        <v>39</v>
      </c>
      <c r="B13" s="38" t="s">
        <v>549</v>
      </c>
      <c r="C13" s="3" t="s">
        <v>40</v>
      </c>
      <c r="D13" s="39">
        <v>45295.0</v>
      </c>
      <c r="E13" s="2">
        <v>5265.0</v>
      </c>
      <c r="F13" s="2" t="s">
        <v>13</v>
      </c>
      <c r="K13" s="3" t="s">
        <v>40</v>
      </c>
      <c r="L13" s="19" t="s">
        <v>535</v>
      </c>
      <c r="M13" s="2">
        <v>5265.0</v>
      </c>
      <c r="AL13" s="19" t="str">
        <f>IFERROR(__xludf.DUMMYFUNCTION("""COMPUTED_VALUE"""),"AMERICARES FOUNDATION INC. Total")</f>
        <v>AMERICARES FOUNDATION INC. Total</v>
      </c>
      <c r="AM13" s="19"/>
      <c r="AN13" s="19">
        <f>IFERROR(__xludf.DUMMYFUNCTION("""COMPUTED_VALUE"""),1.0)</f>
        <v>1</v>
      </c>
      <c r="AP13" s="19" t="str">
        <f>IFERROR(__xludf.DUMMYFUNCTION("""COMPUTED_VALUE"""),"AMERICARES FOUNDATION INC. Total")</f>
        <v>AMERICARES FOUNDATION INC. Total</v>
      </c>
      <c r="AQ13" s="19"/>
      <c r="AR13" s="19">
        <f>IFERROR(__xludf.DUMMYFUNCTION("""COMPUTED_VALUE"""),1.0)</f>
        <v>1</v>
      </c>
      <c r="AT13" s="19" t="str">
        <f>IFERROR(__xludf.DUMMYFUNCTION("""COMPUTED_VALUE"""),"CIVIL SERVICE COMMISSION-REG. XI")</f>
        <v>CIVIL SERVICE COMMISSION-REG. XI</v>
      </c>
      <c r="AU13" s="19">
        <f>IFERROR(__xludf.DUMMYFUNCTION("""COMPUTED_VALUE"""),5.0)</f>
        <v>5</v>
      </c>
    </row>
    <row r="14">
      <c r="A14" s="1" t="s">
        <v>42</v>
      </c>
      <c r="B14" s="38" t="s">
        <v>550</v>
      </c>
      <c r="C14" s="3" t="s">
        <v>43</v>
      </c>
      <c r="D14" s="39">
        <v>45295.0</v>
      </c>
      <c r="E14" s="2">
        <v>51900.0</v>
      </c>
      <c r="F14" s="2" t="s">
        <v>9</v>
      </c>
      <c r="K14" s="3" t="s">
        <v>43</v>
      </c>
      <c r="L14" s="19" t="s">
        <v>535</v>
      </c>
      <c r="M14" s="2">
        <v>51900.0</v>
      </c>
      <c r="AL14" s="19" t="str">
        <f>IFERROR(__xludf.DUMMYFUNCTION("""COMPUTED_VALUE"""),"AMESCO DRUG CORPORATION")</f>
        <v>AMESCO DRUG CORPORATION</v>
      </c>
      <c r="AM14" s="19" t="str">
        <f>IFERROR(__xludf.DUMMYFUNCTION("""COMPUTED_VALUE"""),"February")</f>
        <v>February</v>
      </c>
      <c r="AN14" s="19">
        <f>IFERROR(__xludf.DUMMYFUNCTION("""COMPUTED_VALUE"""),1.0)</f>
        <v>1</v>
      </c>
      <c r="AP14" s="19" t="str">
        <f>IFERROR(__xludf.DUMMYFUNCTION("""COMPUTED_VALUE"""),"AMESCO DRUG CORPORATION")</f>
        <v>AMESCO DRUG CORPORATION</v>
      </c>
      <c r="AQ14" s="19" t="str">
        <f>IFERROR(__xludf.DUMMYFUNCTION("""COMPUTED_VALUE"""),"February")</f>
        <v>February</v>
      </c>
      <c r="AR14" s="19">
        <f>IFERROR(__xludf.DUMMYFUNCTION("""COMPUTED_VALUE"""),1.0)</f>
        <v>1</v>
      </c>
      <c r="AT14" s="19" t="str">
        <f>IFERROR(__xludf.DUMMYFUNCTION("""COMPUTED_VALUE"""),"COMFAC CORPORATION")</f>
        <v>COMFAC CORPORATION</v>
      </c>
      <c r="AU14" s="19">
        <f>IFERROR(__xludf.DUMMYFUNCTION("""COMPUTED_VALUE"""),4.0)</f>
        <v>4</v>
      </c>
    </row>
    <row r="15">
      <c r="A15" s="1" t="s">
        <v>45</v>
      </c>
      <c r="B15" s="38" t="s">
        <v>552</v>
      </c>
      <c r="C15" s="3" t="s">
        <v>46</v>
      </c>
      <c r="D15" s="39">
        <v>45296.0</v>
      </c>
      <c r="E15" s="2">
        <v>2060.0</v>
      </c>
      <c r="F15" s="2" t="s">
        <v>13</v>
      </c>
      <c r="K15" s="3" t="s">
        <v>46</v>
      </c>
      <c r="L15" s="19" t="s">
        <v>535</v>
      </c>
      <c r="M15" s="2">
        <v>2060.0</v>
      </c>
      <c r="AL15" s="19" t="str">
        <f>IFERROR(__xludf.DUMMYFUNCTION("""COMPUTED_VALUE"""),"AMESCO DRUG CORPORATION Total")</f>
        <v>AMESCO DRUG CORPORATION Total</v>
      </c>
      <c r="AM15" s="19"/>
      <c r="AN15" s="19">
        <f>IFERROR(__xludf.DUMMYFUNCTION("""COMPUTED_VALUE"""),1.0)</f>
        <v>1</v>
      </c>
      <c r="AP15" s="19" t="str">
        <f>IFERROR(__xludf.DUMMYFUNCTION("""COMPUTED_VALUE"""),"AMESCO DRUG CORPORATION Total")</f>
        <v>AMESCO DRUG CORPORATION Total</v>
      </c>
      <c r="AQ15" s="19"/>
      <c r="AR15" s="19">
        <f>IFERROR(__xludf.DUMMYFUNCTION("""COMPUTED_VALUE"""),1.0)</f>
        <v>1</v>
      </c>
      <c r="AT15" s="19" t="str">
        <f>IFERROR(__xludf.DUMMYFUNCTION("""COMPUTED_VALUE"""),"DEPT. OF HUMAN SETTLEMENTS &amp; URBAN DEV'T")</f>
        <v>DEPT. OF HUMAN SETTLEMENTS &amp; URBAN DEV'T</v>
      </c>
      <c r="AU15" s="19">
        <f>IFERROR(__xludf.DUMMYFUNCTION("""COMPUTED_VALUE"""),4.0)</f>
        <v>4</v>
      </c>
    </row>
    <row r="16">
      <c r="A16" s="1" t="s">
        <v>48</v>
      </c>
      <c r="B16" s="38" t="s">
        <v>553</v>
      </c>
      <c r="C16" s="3" t="s">
        <v>49</v>
      </c>
      <c r="D16" s="39">
        <v>45296.0</v>
      </c>
      <c r="E16" s="2">
        <v>4097.5</v>
      </c>
      <c r="F16" s="2" t="s">
        <v>13</v>
      </c>
      <c r="K16" s="3" t="s">
        <v>49</v>
      </c>
      <c r="L16" s="19" t="s">
        <v>535</v>
      </c>
      <c r="M16" s="2">
        <v>4097.5</v>
      </c>
      <c r="AL16" s="19" t="str">
        <f>IFERROR(__xludf.DUMMYFUNCTION("""COMPUTED_VALUE"""),"ANTONIO'S GRILL")</f>
        <v>ANTONIO'S GRILL</v>
      </c>
      <c r="AM16" s="19" t="str">
        <f>IFERROR(__xludf.DUMMYFUNCTION("""COMPUTED_VALUE"""),"January")</f>
        <v>January</v>
      </c>
      <c r="AN16" s="19">
        <f>IFERROR(__xludf.DUMMYFUNCTION("""COMPUTED_VALUE"""),5.0)</f>
        <v>5</v>
      </c>
      <c r="AP16" s="19" t="str">
        <f>IFERROR(__xludf.DUMMYFUNCTION("""COMPUTED_VALUE"""),"ANTONIO'S GRILL")</f>
        <v>ANTONIO'S GRILL</v>
      </c>
      <c r="AQ16" s="19" t="str">
        <f>IFERROR(__xludf.DUMMYFUNCTION("""COMPUTED_VALUE"""),"January")</f>
        <v>January</v>
      </c>
      <c r="AR16" s="19">
        <f>IFERROR(__xludf.DUMMYFUNCTION("""COMPUTED_VALUE"""),5.0)</f>
        <v>5</v>
      </c>
    </row>
    <row r="17">
      <c r="A17" s="1" t="s">
        <v>51</v>
      </c>
      <c r="B17" s="38" t="s">
        <v>555</v>
      </c>
      <c r="C17" s="3" t="s">
        <v>52</v>
      </c>
      <c r="D17" s="39">
        <v>45296.0</v>
      </c>
      <c r="E17" s="2">
        <v>6230.0</v>
      </c>
      <c r="F17" s="2" t="s">
        <v>9</v>
      </c>
      <c r="K17" s="3" t="s">
        <v>52</v>
      </c>
      <c r="L17" s="19" t="s">
        <v>535</v>
      </c>
      <c r="M17" s="2">
        <v>6230.0</v>
      </c>
      <c r="AL17" s="19" t="str">
        <f>IFERROR(__xludf.DUMMYFUNCTION("""COMPUTED_VALUE"""),"ANTONIO'S GRILL Total")</f>
        <v>ANTONIO'S GRILL Total</v>
      </c>
      <c r="AM17" s="19"/>
      <c r="AN17" s="19">
        <f>IFERROR(__xludf.DUMMYFUNCTION("""COMPUTED_VALUE"""),5.0)</f>
        <v>5</v>
      </c>
      <c r="AP17" s="19" t="str">
        <f>IFERROR(__xludf.DUMMYFUNCTION("""COMPUTED_VALUE"""),"ANTONIO'S GRILL Total")</f>
        <v>ANTONIO'S GRILL Total</v>
      </c>
      <c r="AQ17" s="19"/>
      <c r="AR17" s="19">
        <f>IFERROR(__xludf.DUMMYFUNCTION("""COMPUTED_VALUE"""),5.0)</f>
        <v>5</v>
      </c>
    </row>
    <row r="18">
      <c r="A18" s="1" t="s">
        <v>54</v>
      </c>
      <c r="B18" s="38" t="s">
        <v>543</v>
      </c>
      <c r="C18" s="3" t="s">
        <v>29</v>
      </c>
      <c r="D18" s="39">
        <v>45296.0</v>
      </c>
      <c r="E18" s="2">
        <v>44970.0</v>
      </c>
      <c r="F18" s="2" t="s">
        <v>9</v>
      </c>
      <c r="K18" s="3" t="s">
        <v>29</v>
      </c>
      <c r="L18" s="19" t="s">
        <v>535</v>
      </c>
      <c r="M18" s="2">
        <v>44970.0</v>
      </c>
      <c r="AL18" s="19" t="str">
        <f>IFERROR(__xludf.DUMMYFUNCTION("""COMPUTED_VALUE"""),"ARM-G  INT'L. LOGISTIC INC.")</f>
        <v>ARM-G  INT'L. LOGISTIC INC.</v>
      </c>
      <c r="AM18" s="19" t="str">
        <f>IFERROR(__xludf.DUMMYFUNCTION("""COMPUTED_VALUE"""),"January")</f>
        <v>January</v>
      </c>
      <c r="AN18" s="19">
        <f>IFERROR(__xludf.DUMMYFUNCTION("""COMPUTED_VALUE"""),1.0)</f>
        <v>1</v>
      </c>
      <c r="AP18" s="19" t="str">
        <f>IFERROR(__xludf.DUMMYFUNCTION("""COMPUTED_VALUE"""),"ARM-G  INT'L. LOGISTIC INC.")</f>
        <v>ARM-G  INT'L. LOGISTIC INC.</v>
      </c>
      <c r="AQ18" s="19" t="str">
        <f>IFERROR(__xludf.DUMMYFUNCTION("""COMPUTED_VALUE"""),"January")</f>
        <v>January</v>
      </c>
      <c r="AR18" s="19">
        <f>IFERROR(__xludf.DUMMYFUNCTION("""COMPUTED_VALUE"""),1.0)</f>
        <v>1</v>
      </c>
      <c r="AT18" s="19" t="str">
        <f>IFERROR(__xludf.DUMMYFUNCTION("QUERY('Copy of John 1'!K1:M201, ""SELECT K, COUNT(M) WHERE K IS NOT NULL AND L = 'February' GROUP BY K ORDER BY COUNT(M) DESC LIMIT 5"", 1)"),"CustomerName")</f>
        <v>CustomerName</v>
      </c>
      <c r="AU18" s="19" t="str">
        <f>IFERROR(__xludf.DUMMYFUNCTION("""COMPUTED_VALUE"""),"count OrderTotal")</f>
        <v>count OrderTotal</v>
      </c>
    </row>
    <row r="19">
      <c r="A19" s="1" t="s">
        <v>56</v>
      </c>
      <c r="B19" s="38" t="s">
        <v>557</v>
      </c>
      <c r="C19" s="3" t="s">
        <v>57</v>
      </c>
      <c r="D19" s="39">
        <v>45299.0</v>
      </c>
      <c r="E19" s="2">
        <v>525.3</v>
      </c>
      <c r="F19" s="2" t="s">
        <v>13</v>
      </c>
      <c r="K19" s="3" t="s">
        <v>57</v>
      </c>
      <c r="L19" s="19" t="s">
        <v>535</v>
      </c>
      <c r="M19" s="2">
        <v>525.3</v>
      </c>
      <c r="AL19" s="19" t="str">
        <f>IFERROR(__xludf.DUMMYFUNCTION("""COMPUTED_VALUE"""),"ARM-G  INT'L. LOGISTIC INC. Total")</f>
        <v>ARM-G  INT'L. LOGISTIC INC. Total</v>
      </c>
      <c r="AM19" s="19"/>
      <c r="AN19" s="19">
        <f>IFERROR(__xludf.DUMMYFUNCTION("""COMPUTED_VALUE"""),1.0)</f>
        <v>1</v>
      </c>
      <c r="AP19" s="19" t="str">
        <f>IFERROR(__xludf.DUMMYFUNCTION("""COMPUTED_VALUE"""),"ARM-G  INT'L. LOGISTIC INC. Total")</f>
        <v>ARM-G  INT'L. LOGISTIC INC. Total</v>
      </c>
      <c r="AQ19" s="19"/>
      <c r="AR19" s="19">
        <f>IFERROR(__xludf.DUMMYFUNCTION("""COMPUTED_VALUE"""),1.0)</f>
        <v>1</v>
      </c>
      <c r="AT19" s="19" t="str">
        <f>IFERROR(__xludf.DUMMYFUNCTION("""COMPUTED_VALUE"""),"MUNICIPALITY OF LUPON - LGU")</f>
        <v>MUNICIPALITY OF LUPON - LGU</v>
      </c>
      <c r="AU19" s="19">
        <f>IFERROR(__xludf.DUMMYFUNCTION("""COMPUTED_VALUE"""),21.0)</f>
        <v>21</v>
      </c>
    </row>
    <row r="20">
      <c r="A20" s="1" t="s">
        <v>59</v>
      </c>
      <c r="B20" s="38" t="s">
        <v>558</v>
      </c>
      <c r="C20" s="3" t="s">
        <v>60</v>
      </c>
      <c r="D20" s="39">
        <v>45299.0</v>
      </c>
      <c r="E20" s="2">
        <v>2265.45</v>
      </c>
      <c r="F20" s="2" t="s">
        <v>13</v>
      </c>
      <c r="K20" s="3" t="s">
        <v>60</v>
      </c>
      <c r="L20" s="19" t="s">
        <v>535</v>
      </c>
      <c r="M20" s="2">
        <v>2265.45</v>
      </c>
      <c r="AL20" s="19" t="str">
        <f>IFERROR(__xludf.DUMMYFUNCTION("""COMPUTED_VALUE"""),"ASIAGLOBAL TECHNOLOGIES INC.")</f>
        <v>ASIAGLOBAL TECHNOLOGIES INC.</v>
      </c>
      <c r="AM20" s="19" t="str">
        <f>IFERROR(__xludf.DUMMYFUNCTION("""COMPUTED_VALUE"""),"January")</f>
        <v>January</v>
      </c>
      <c r="AN20" s="19">
        <f>IFERROR(__xludf.DUMMYFUNCTION("""COMPUTED_VALUE"""),1.0)</f>
        <v>1</v>
      </c>
      <c r="AP20" s="19" t="str">
        <f>IFERROR(__xludf.DUMMYFUNCTION("""COMPUTED_VALUE"""),"ASIAGLOBAL TECHNOLOGIES INC.")</f>
        <v>ASIAGLOBAL TECHNOLOGIES INC.</v>
      </c>
      <c r="AQ20" s="19" t="str">
        <f>IFERROR(__xludf.DUMMYFUNCTION("""COMPUTED_VALUE"""),"January")</f>
        <v>January</v>
      </c>
      <c r="AR20" s="19">
        <f>IFERROR(__xludf.DUMMYFUNCTION("""COMPUTED_VALUE"""),1.0)</f>
        <v>1</v>
      </c>
      <c r="AT20" s="19" t="str">
        <f>IFERROR(__xludf.DUMMYFUNCTION("""COMPUTED_VALUE"""),"STENIEL MINDANAO PACKAGING CORPORATION")</f>
        <v>STENIEL MINDANAO PACKAGING CORPORATION</v>
      </c>
      <c r="AU20" s="19">
        <f>IFERROR(__xludf.DUMMYFUNCTION("""COMPUTED_VALUE"""),5.0)</f>
        <v>5</v>
      </c>
    </row>
    <row r="21">
      <c r="A21" s="1" t="s">
        <v>62</v>
      </c>
      <c r="B21" s="38" t="s">
        <v>560</v>
      </c>
      <c r="C21" s="3" t="s">
        <v>63</v>
      </c>
      <c r="D21" s="39">
        <v>45299.0</v>
      </c>
      <c r="E21" s="2">
        <v>3256.0</v>
      </c>
      <c r="F21" s="2" t="s">
        <v>9</v>
      </c>
      <c r="K21" s="3" t="s">
        <v>63</v>
      </c>
      <c r="L21" s="19" t="s">
        <v>535</v>
      </c>
      <c r="M21" s="2">
        <v>3256.0</v>
      </c>
      <c r="AL21" s="19" t="str">
        <f>IFERROR(__xludf.DUMMYFUNCTION("""COMPUTED_VALUE"""),"ASIAGLOBAL TECHNOLOGIES INC. Total")</f>
        <v>ASIAGLOBAL TECHNOLOGIES INC. Total</v>
      </c>
      <c r="AM21" s="19"/>
      <c r="AN21" s="19">
        <f>IFERROR(__xludf.DUMMYFUNCTION("""COMPUTED_VALUE"""),1.0)</f>
        <v>1</v>
      </c>
      <c r="AP21" s="19" t="str">
        <f>IFERROR(__xludf.DUMMYFUNCTION("""COMPUTED_VALUE"""),"ASIAGLOBAL TECHNOLOGIES INC. Total")</f>
        <v>ASIAGLOBAL TECHNOLOGIES INC. Total</v>
      </c>
      <c r="AQ21" s="19"/>
      <c r="AR21" s="19">
        <f>IFERROR(__xludf.DUMMYFUNCTION("""COMPUTED_VALUE"""),1.0)</f>
        <v>1</v>
      </c>
      <c r="AT21" s="19" t="str">
        <f>IFERROR(__xludf.DUMMYFUNCTION("""COMPUTED_VALUE"""),"EC GONZAGA ENTERPRISES")</f>
        <v>EC GONZAGA ENTERPRISES</v>
      </c>
      <c r="AU21" s="19">
        <f>IFERROR(__xludf.DUMMYFUNCTION("""COMPUTED_VALUE"""),4.0)</f>
        <v>4</v>
      </c>
    </row>
    <row r="22">
      <c r="A22" s="1" t="s">
        <v>65</v>
      </c>
      <c r="B22" s="38" t="s">
        <v>561</v>
      </c>
      <c r="C22" s="3" t="s">
        <v>66</v>
      </c>
      <c r="D22" s="39">
        <v>45299.0</v>
      </c>
      <c r="E22" s="2">
        <v>4400.6</v>
      </c>
      <c r="F22" s="2" t="s">
        <v>13</v>
      </c>
      <c r="K22" s="3" t="s">
        <v>66</v>
      </c>
      <c r="L22" s="19" t="s">
        <v>535</v>
      </c>
      <c r="M22" s="2">
        <v>4400.6</v>
      </c>
      <c r="AL22" s="19" t="str">
        <f>IFERROR(__xludf.DUMMYFUNCTION("""COMPUTED_VALUE"""),"ASSUMPTION COLLEGE OF DAVAO INC")</f>
        <v>ASSUMPTION COLLEGE OF DAVAO INC</v>
      </c>
      <c r="AM22" s="19" t="str">
        <f>IFERROR(__xludf.DUMMYFUNCTION("""COMPUTED_VALUE"""),"February")</f>
        <v>February</v>
      </c>
      <c r="AN22" s="19">
        <f>IFERROR(__xludf.DUMMYFUNCTION("""COMPUTED_VALUE"""),2.0)</f>
        <v>2</v>
      </c>
      <c r="AP22" s="19" t="str">
        <f>IFERROR(__xludf.DUMMYFUNCTION("""COMPUTED_VALUE"""),"ASSUMPTION COLLEGE OF DAVAO INC")</f>
        <v>ASSUMPTION COLLEGE OF DAVAO INC</v>
      </c>
      <c r="AQ22" s="19" t="str">
        <f>IFERROR(__xludf.DUMMYFUNCTION("""COMPUTED_VALUE"""),"February")</f>
        <v>February</v>
      </c>
      <c r="AR22" s="19">
        <f>IFERROR(__xludf.DUMMYFUNCTION("""COMPUTED_VALUE"""),2.0)</f>
        <v>2</v>
      </c>
      <c r="AT22" s="19" t="str">
        <f>IFERROR(__xludf.DUMMYFUNCTION("""COMPUTED_VALUE"""),"AMALGATED CAPITAL INCORPORATED")</f>
        <v>AMALGATED CAPITAL INCORPORATED</v>
      </c>
      <c r="AU22" s="19">
        <f>IFERROR(__xludf.DUMMYFUNCTION("""COMPUTED_VALUE"""),3.0)</f>
        <v>3</v>
      </c>
    </row>
    <row r="23">
      <c r="A23" s="1" t="s">
        <v>68</v>
      </c>
      <c r="B23" s="38" t="s">
        <v>563</v>
      </c>
      <c r="C23" s="3" t="s">
        <v>69</v>
      </c>
      <c r="D23" s="39">
        <v>45299.0</v>
      </c>
      <c r="E23" s="2">
        <v>8254.15</v>
      </c>
      <c r="F23" s="2" t="s">
        <v>13</v>
      </c>
      <c r="K23" s="3" t="s">
        <v>69</v>
      </c>
      <c r="L23" s="19" t="s">
        <v>535</v>
      </c>
      <c r="M23" s="2">
        <v>8254.15</v>
      </c>
      <c r="AL23" s="19" t="str">
        <f>IFERROR(__xludf.DUMMYFUNCTION("""COMPUTED_VALUE"""),"ASSUMPTION COLLEGE OF DAVAO INC Total")</f>
        <v>ASSUMPTION COLLEGE OF DAVAO INC Total</v>
      </c>
      <c r="AM23" s="19"/>
      <c r="AN23" s="19">
        <f>IFERROR(__xludf.DUMMYFUNCTION("""COMPUTED_VALUE"""),2.0)</f>
        <v>2</v>
      </c>
      <c r="AP23" s="19" t="str">
        <f>IFERROR(__xludf.DUMMYFUNCTION("""COMPUTED_VALUE"""),"ASSUMPTION COLLEGE OF DAVAO INC Total")</f>
        <v>ASSUMPTION COLLEGE OF DAVAO INC Total</v>
      </c>
      <c r="AQ23" s="19"/>
      <c r="AR23" s="19">
        <f>IFERROR(__xludf.DUMMYFUNCTION("""COMPUTED_VALUE"""),2.0)</f>
        <v>2</v>
      </c>
      <c r="AT23" s="19" t="str">
        <f>IFERROR(__xludf.DUMMYFUNCTION("""COMPUTED_VALUE"""),"ASSUMPTION COLLEGE OF DAVAO INC")</f>
        <v>ASSUMPTION COLLEGE OF DAVAO INC</v>
      </c>
      <c r="AU23" s="19">
        <f>IFERROR(__xludf.DUMMYFUNCTION("""COMPUTED_VALUE"""),2.0)</f>
        <v>2</v>
      </c>
    </row>
    <row r="24">
      <c r="A24" s="1" t="s">
        <v>71</v>
      </c>
      <c r="B24" s="38" t="s">
        <v>537</v>
      </c>
      <c r="C24" s="3" t="s">
        <v>15</v>
      </c>
      <c r="D24" s="39">
        <v>45299.0</v>
      </c>
      <c r="E24" s="2">
        <v>111000.0</v>
      </c>
      <c r="F24" s="2" t="s">
        <v>13</v>
      </c>
      <c r="K24" s="3" t="s">
        <v>15</v>
      </c>
      <c r="L24" s="19" t="s">
        <v>535</v>
      </c>
      <c r="M24" s="2">
        <v>111000.0</v>
      </c>
      <c r="AL24" s="19" t="str">
        <f>IFERROR(__xludf.DUMMYFUNCTION("""COMPUTED_VALUE"""),"ASTROBUILT CONSTRUCTION &amp; DEVELOPMENT")</f>
        <v>ASTROBUILT CONSTRUCTION &amp; DEVELOPMENT</v>
      </c>
      <c r="AM24" s="19" t="str">
        <f>IFERROR(__xludf.DUMMYFUNCTION("""COMPUTED_VALUE"""),"January")</f>
        <v>January</v>
      </c>
      <c r="AN24" s="19">
        <f>IFERROR(__xludf.DUMMYFUNCTION("""COMPUTED_VALUE"""),1.0)</f>
        <v>1</v>
      </c>
      <c r="AP24" s="19" t="str">
        <f>IFERROR(__xludf.DUMMYFUNCTION("""COMPUTED_VALUE"""),"ASTROBUILT CONSTRUCTION &amp; DEVELOPMENT")</f>
        <v>ASTROBUILT CONSTRUCTION &amp; DEVELOPMENT</v>
      </c>
      <c r="AQ24" s="19" t="str">
        <f>IFERROR(__xludf.DUMMYFUNCTION("""COMPUTED_VALUE"""),"January")</f>
        <v>January</v>
      </c>
      <c r="AR24" s="19">
        <f>IFERROR(__xludf.DUMMYFUNCTION("""COMPUTED_VALUE"""),1.0)</f>
        <v>1</v>
      </c>
    </row>
    <row r="25">
      <c r="A25" s="1" t="s">
        <v>73</v>
      </c>
      <c r="B25" s="38" t="s">
        <v>537</v>
      </c>
      <c r="C25" s="3" t="s">
        <v>15</v>
      </c>
      <c r="D25" s="39">
        <v>45300.0</v>
      </c>
      <c r="E25" s="2">
        <v>765.0</v>
      </c>
      <c r="F25" s="2" t="s">
        <v>13</v>
      </c>
      <c r="K25" s="3" t="s">
        <v>15</v>
      </c>
      <c r="L25" s="19" t="s">
        <v>535</v>
      </c>
      <c r="M25" s="2">
        <v>765.0</v>
      </c>
      <c r="AL25" s="19" t="str">
        <f>IFERROR(__xludf.DUMMYFUNCTION("""COMPUTED_VALUE"""),"ASTROBUILT CONSTRUCTION &amp; DEVELOPMENT Total")</f>
        <v>ASTROBUILT CONSTRUCTION &amp; DEVELOPMENT Total</v>
      </c>
      <c r="AM25" s="19"/>
      <c r="AN25" s="19">
        <f>IFERROR(__xludf.DUMMYFUNCTION("""COMPUTED_VALUE"""),1.0)</f>
        <v>1</v>
      </c>
      <c r="AP25" s="19" t="str">
        <f>IFERROR(__xludf.DUMMYFUNCTION("""COMPUTED_VALUE"""),"ASTROBUILT CONSTRUCTION &amp; DEVELOPMENT Total")</f>
        <v>ASTROBUILT CONSTRUCTION &amp; DEVELOPMENT Total</v>
      </c>
      <c r="AQ25" s="19"/>
      <c r="AR25" s="19">
        <f>IFERROR(__xludf.DUMMYFUNCTION("""COMPUTED_VALUE"""),1.0)</f>
        <v>1</v>
      </c>
    </row>
    <row r="26">
      <c r="A26" s="1" t="s">
        <v>75</v>
      </c>
      <c r="B26" s="38" t="s">
        <v>557</v>
      </c>
      <c r="C26" s="3" t="s">
        <v>57</v>
      </c>
      <c r="D26" s="39">
        <v>45300.0</v>
      </c>
      <c r="E26" s="2">
        <v>1525.0</v>
      </c>
      <c r="F26" s="2" t="s">
        <v>13</v>
      </c>
      <c r="K26" s="3" t="s">
        <v>57</v>
      </c>
      <c r="L26" s="19" t="s">
        <v>535</v>
      </c>
      <c r="M26" s="2">
        <v>1525.0</v>
      </c>
      <c r="AL26" s="19" t="str">
        <f>IFERROR(__xludf.DUMMYFUNCTION("""COMPUTED_VALUE"""),"AUTOKID SOUTH MINDANAO CORP.")</f>
        <v>AUTOKID SOUTH MINDANAO CORP.</v>
      </c>
      <c r="AM26" s="19" t="str">
        <f>IFERROR(__xludf.DUMMYFUNCTION("""COMPUTED_VALUE"""),"February")</f>
        <v>February</v>
      </c>
      <c r="AN26" s="19">
        <f>IFERROR(__xludf.DUMMYFUNCTION("""COMPUTED_VALUE"""),1.0)</f>
        <v>1</v>
      </c>
      <c r="AP26" s="19" t="str">
        <f>IFERROR(__xludf.DUMMYFUNCTION("""COMPUTED_VALUE"""),"AUTOKID SOUTH MINDANAO CORP.")</f>
        <v>AUTOKID SOUTH MINDANAO CORP.</v>
      </c>
      <c r="AQ26" s="19" t="str">
        <f>IFERROR(__xludf.DUMMYFUNCTION("""COMPUTED_VALUE"""),"February")</f>
        <v>February</v>
      </c>
      <c r="AR26" s="19">
        <f>IFERROR(__xludf.DUMMYFUNCTION("""COMPUTED_VALUE"""),1.0)</f>
        <v>1</v>
      </c>
      <c r="AT26" s="19">
        <f>AVERAGEIF(AI2:AI1000, "January", AJ2:AJ1000)</f>
        <v>1.493670886</v>
      </c>
    </row>
    <row r="27">
      <c r="A27" s="1" t="s">
        <v>77</v>
      </c>
      <c r="B27" s="38" t="s">
        <v>557</v>
      </c>
      <c r="C27" s="3" t="s">
        <v>57</v>
      </c>
      <c r="D27" s="39">
        <v>45300.0</v>
      </c>
      <c r="E27" s="2">
        <v>1525.0</v>
      </c>
      <c r="F27" s="2" t="s">
        <v>13</v>
      </c>
      <c r="K27" s="3" t="s">
        <v>57</v>
      </c>
      <c r="L27" s="19" t="s">
        <v>535</v>
      </c>
      <c r="M27" s="2">
        <v>1525.0</v>
      </c>
      <c r="AL27" s="19" t="str">
        <f>IFERROR(__xludf.DUMMYFUNCTION("""COMPUTED_VALUE"""),"AUTOKID SOUTH MINDANAO CORP. Total")</f>
        <v>AUTOKID SOUTH MINDANAO CORP. Total</v>
      </c>
      <c r="AM27" s="19"/>
      <c r="AN27" s="19">
        <f>IFERROR(__xludf.DUMMYFUNCTION("""COMPUTED_VALUE"""),1.0)</f>
        <v>1</v>
      </c>
      <c r="AP27" s="19" t="str">
        <f>IFERROR(__xludf.DUMMYFUNCTION("""COMPUTED_VALUE"""),"AUTOKID SOUTH MINDANAO CORP. Total")</f>
        <v>AUTOKID SOUTH MINDANAO CORP. Total</v>
      </c>
      <c r="AQ27" s="19"/>
      <c r="AR27" s="19">
        <f>IFERROR(__xludf.DUMMYFUNCTION("""COMPUTED_VALUE"""),1.0)</f>
        <v>1</v>
      </c>
      <c r="AT27" s="19">
        <f>AVERAGEIF(AI2:AI1000, "February", AJ2:AJ1000)</f>
        <v>1.760869565</v>
      </c>
    </row>
    <row r="28">
      <c r="A28" s="1" t="s">
        <v>78</v>
      </c>
      <c r="B28" s="38" t="s">
        <v>557</v>
      </c>
      <c r="C28" s="3" t="s">
        <v>57</v>
      </c>
      <c r="D28" s="39">
        <v>45300.0</v>
      </c>
      <c r="E28" s="2">
        <v>1525.0</v>
      </c>
      <c r="F28" s="2" t="s">
        <v>13</v>
      </c>
      <c r="K28" s="3" t="s">
        <v>57</v>
      </c>
      <c r="L28" s="19" t="s">
        <v>535</v>
      </c>
      <c r="M28" s="2">
        <v>1525.0</v>
      </c>
      <c r="AL28" s="19" t="str">
        <f>IFERROR(__xludf.DUMMYFUNCTION("""COMPUTED_VALUE"""),"B.P.I. -  HOUSING LOAN")</f>
        <v>B.P.I. -  HOUSING LOAN</v>
      </c>
      <c r="AM28" s="19" t="str">
        <f>IFERROR(__xludf.DUMMYFUNCTION("""COMPUTED_VALUE"""),"January")</f>
        <v>January</v>
      </c>
      <c r="AN28" s="19">
        <f>IFERROR(__xludf.DUMMYFUNCTION("""COMPUTED_VALUE"""),1.0)</f>
        <v>1</v>
      </c>
      <c r="AP28" s="19" t="str">
        <f>IFERROR(__xludf.DUMMYFUNCTION("""COMPUTED_VALUE"""),"B.P.I. -  HOUSING LOAN")</f>
        <v>B.P.I. -  HOUSING LOAN</v>
      </c>
      <c r="AQ28" s="19" t="str">
        <f>IFERROR(__xludf.DUMMYFUNCTION("""COMPUTED_VALUE"""),"January")</f>
        <v>January</v>
      </c>
      <c r="AR28" s="19">
        <f>IFERROR(__xludf.DUMMYFUNCTION("""COMPUTED_VALUE"""),1.0)</f>
        <v>1</v>
      </c>
    </row>
    <row r="29">
      <c r="A29" s="1" t="s">
        <v>79</v>
      </c>
      <c r="B29" s="38" t="s">
        <v>557</v>
      </c>
      <c r="C29" s="3" t="s">
        <v>57</v>
      </c>
      <c r="D29" s="39">
        <v>45300.0</v>
      </c>
      <c r="E29" s="2">
        <v>1525.0</v>
      </c>
      <c r="F29" s="2" t="s">
        <v>13</v>
      </c>
      <c r="K29" s="3" t="s">
        <v>57</v>
      </c>
      <c r="L29" s="19" t="s">
        <v>535</v>
      </c>
      <c r="M29" s="2">
        <v>1525.0</v>
      </c>
      <c r="AL29" s="19" t="str">
        <f>IFERROR(__xludf.DUMMYFUNCTION("""COMPUTED_VALUE"""),"B.P.I. -  HOUSING LOAN Total")</f>
        <v>B.P.I. -  HOUSING LOAN Total</v>
      </c>
      <c r="AM29" s="19"/>
      <c r="AN29" s="19">
        <f>IFERROR(__xludf.DUMMYFUNCTION("""COMPUTED_VALUE"""),1.0)</f>
        <v>1</v>
      </c>
      <c r="AP29" s="19" t="str">
        <f>IFERROR(__xludf.DUMMYFUNCTION("""COMPUTED_VALUE"""),"B.P.I. -  HOUSING LOAN Total")</f>
        <v>B.P.I. -  HOUSING LOAN Total</v>
      </c>
      <c r="AQ29" s="19"/>
      <c r="AR29" s="19">
        <f>IFERROR(__xludf.DUMMYFUNCTION("""COMPUTED_VALUE"""),1.0)</f>
        <v>1</v>
      </c>
    </row>
    <row r="30">
      <c r="A30" s="1" t="s">
        <v>80</v>
      </c>
      <c r="B30" s="38" t="s">
        <v>567</v>
      </c>
      <c r="C30" s="3" t="s">
        <v>81</v>
      </c>
      <c r="D30" s="39">
        <v>45300.0</v>
      </c>
      <c r="E30" s="2">
        <v>2050.0</v>
      </c>
      <c r="F30" s="2" t="s">
        <v>13</v>
      </c>
      <c r="K30" s="3" t="s">
        <v>81</v>
      </c>
      <c r="L30" s="19" t="s">
        <v>535</v>
      </c>
      <c r="M30" s="2">
        <v>2050.0</v>
      </c>
      <c r="AL30" s="19" t="str">
        <f>IFERROR(__xludf.DUMMYFUNCTION("""COMPUTED_VALUE"""),"B.P.I. - BAJADA (FRONTING CONPINCO)")</f>
        <v>B.P.I. - BAJADA (FRONTING CONPINCO)</v>
      </c>
      <c r="AM30" s="19" t="str">
        <f>IFERROR(__xludf.DUMMYFUNCTION("""COMPUTED_VALUE"""),"January")</f>
        <v>January</v>
      </c>
      <c r="AN30" s="19">
        <f>IFERROR(__xludf.DUMMYFUNCTION("""COMPUTED_VALUE"""),1.0)</f>
        <v>1</v>
      </c>
      <c r="AP30" s="19" t="str">
        <f>IFERROR(__xludf.DUMMYFUNCTION("""COMPUTED_VALUE"""),"B.P.I. - BAJADA (FRONTING CONPINCO)")</f>
        <v>B.P.I. - BAJADA (FRONTING CONPINCO)</v>
      </c>
      <c r="AQ30" s="19" t="str">
        <f>IFERROR(__xludf.DUMMYFUNCTION("""COMPUTED_VALUE"""),"January")</f>
        <v>January</v>
      </c>
      <c r="AR30" s="19">
        <f>IFERROR(__xludf.DUMMYFUNCTION("""COMPUTED_VALUE"""),1.0)</f>
        <v>1</v>
      </c>
    </row>
    <row r="31">
      <c r="A31" s="1" t="s">
        <v>83</v>
      </c>
      <c r="B31" s="38" t="s">
        <v>569</v>
      </c>
      <c r="C31" s="3" t="s">
        <v>84</v>
      </c>
      <c r="D31" s="39">
        <v>45300.0</v>
      </c>
      <c r="E31" s="2">
        <v>3571.75</v>
      </c>
      <c r="F31" s="2" t="s">
        <v>13</v>
      </c>
      <c r="K31" s="3" t="s">
        <v>84</v>
      </c>
      <c r="L31" s="19" t="s">
        <v>535</v>
      </c>
      <c r="M31" s="2">
        <v>3571.75</v>
      </c>
      <c r="AL31" s="19" t="str">
        <f>IFERROR(__xludf.DUMMYFUNCTION("""COMPUTED_VALUE"""),"B.P.I. - BAJADA (FRONTING CONPINCO) Total")</f>
        <v>B.P.I. - BAJADA (FRONTING CONPINCO) Total</v>
      </c>
      <c r="AM31" s="19"/>
      <c r="AN31" s="19">
        <f>IFERROR(__xludf.DUMMYFUNCTION("""COMPUTED_VALUE"""),1.0)</f>
        <v>1</v>
      </c>
      <c r="AP31" s="19" t="str">
        <f>IFERROR(__xludf.DUMMYFUNCTION("""COMPUTED_VALUE"""),"B.P.I. - BAJADA (FRONTING CONPINCO) Total")</f>
        <v>B.P.I. - BAJADA (FRONTING CONPINCO) Total</v>
      </c>
      <c r="AQ31" s="19"/>
      <c r="AR31" s="19">
        <f>IFERROR(__xludf.DUMMYFUNCTION("""COMPUTED_VALUE"""),1.0)</f>
        <v>1</v>
      </c>
    </row>
    <row r="32">
      <c r="A32" s="1" t="s">
        <v>86</v>
      </c>
      <c r="B32" s="38" t="s">
        <v>570</v>
      </c>
      <c r="C32" s="3" t="s">
        <v>87</v>
      </c>
      <c r="D32" s="39">
        <v>45301.0</v>
      </c>
      <c r="E32" s="2">
        <v>5151.0</v>
      </c>
      <c r="F32" s="2" t="s">
        <v>13</v>
      </c>
      <c r="K32" s="3" t="s">
        <v>87</v>
      </c>
      <c r="L32" s="19" t="s">
        <v>535</v>
      </c>
      <c r="M32" s="2">
        <v>5151.0</v>
      </c>
      <c r="AL32" s="19" t="str">
        <f>IFERROR(__xludf.DUMMYFUNCTION("""COMPUTED_VALUE"""),"B.P.I. - LANANG")</f>
        <v>B.P.I. - LANANG</v>
      </c>
      <c r="AM32" s="19" t="str">
        <f>IFERROR(__xludf.DUMMYFUNCTION("""COMPUTED_VALUE"""),"January")</f>
        <v>January</v>
      </c>
      <c r="AN32" s="19">
        <f>IFERROR(__xludf.DUMMYFUNCTION("""COMPUTED_VALUE"""),1.0)</f>
        <v>1</v>
      </c>
      <c r="AP32" s="19" t="str">
        <f>IFERROR(__xludf.DUMMYFUNCTION("""COMPUTED_VALUE"""),"B.P.I. - LANANG")</f>
        <v>B.P.I. - LANANG</v>
      </c>
      <c r="AQ32" s="19" t="str">
        <f>IFERROR(__xludf.DUMMYFUNCTION("""COMPUTED_VALUE"""),"January")</f>
        <v>January</v>
      </c>
      <c r="AR32" s="19">
        <f>IFERROR(__xludf.DUMMYFUNCTION("""COMPUTED_VALUE"""),1.0)</f>
        <v>1</v>
      </c>
    </row>
    <row r="33">
      <c r="A33" s="1" t="s">
        <v>89</v>
      </c>
      <c r="B33" s="38" t="s">
        <v>572</v>
      </c>
      <c r="C33" s="3" t="s">
        <v>90</v>
      </c>
      <c r="D33" s="39">
        <v>45301.0</v>
      </c>
      <c r="E33" s="2">
        <v>7885.3</v>
      </c>
      <c r="F33" s="2" t="s">
        <v>13</v>
      </c>
      <c r="K33" s="3" t="s">
        <v>90</v>
      </c>
      <c r="L33" s="19" t="s">
        <v>535</v>
      </c>
      <c r="M33" s="2">
        <v>7885.3</v>
      </c>
      <c r="AL33" s="19" t="str">
        <f>IFERROR(__xludf.DUMMYFUNCTION("""COMPUTED_VALUE"""),"B.P.I. - LANANG Total")</f>
        <v>B.P.I. - LANANG Total</v>
      </c>
      <c r="AM33" s="19"/>
      <c r="AN33" s="19">
        <f>IFERROR(__xludf.DUMMYFUNCTION("""COMPUTED_VALUE"""),1.0)</f>
        <v>1</v>
      </c>
      <c r="AP33" s="19" t="str">
        <f>IFERROR(__xludf.DUMMYFUNCTION("""COMPUTED_VALUE"""),"B.P.I. - LANANG Total")</f>
        <v>B.P.I. - LANANG Total</v>
      </c>
      <c r="AQ33" s="19"/>
      <c r="AR33" s="19">
        <f>IFERROR(__xludf.DUMMYFUNCTION("""COMPUTED_VALUE"""),1.0)</f>
        <v>1</v>
      </c>
    </row>
    <row r="34">
      <c r="A34" s="1" t="s">
        <v>92</v>
      </c>
      <c r="B34" s="38" t="s">
        <v>573</v>
      </c>
      <c r="C34" s="3" t="s">
        <v>93</v>
      </c>
      <c r="D34" s="39">
        <v>45301.0</v>
      </c>
      <c r="E34" s="2">
        <v>10250.5</v>
      </c>
      <c r="F34" s="2" t="s">
        <v>13</v>
      </c>
      <c r="K34" s="3" t="s">
        <v>93</v>
      </c>
      <c r="L34" s="19" t="s">
        <v>535</v>
      </c>
      <c r="M34" s="2">
        <v>10250.5</v>
      </c>
      <c r="AL34" s="19" t="str">
        <f>IFERROR(__xludf.DUMMYFUNCTION("""COMPUTED_VALUE"""),"BANEXCO TRADERS INC.")</f>
        <v>BANEXCO TRADERS INC.</v>
      </c>
      <c r="AM34" s="19" t="str">
        <f>IFERROR(__xludf.DUMMYFUNCTION("""COMPUTED_VALUE"""),"January")</f>
        <v>January</v>
      </c>
      <c r="AN34" s="19">
        <f>IFERROR(__xludf.DUMMYFUNCTION("""COMPUTED_VALUE"""),1.0)</f>
        <v>1</v>
      </c>
      <c r="AP34" s="19" t="str">
        <f>IFERROR(__xludf.DUMMYFUNCTION("""COMPUTED_VALUE"""),"BANEXCO TRADERS INC.")</f>
        <v>BANEXCO TRADERS INC.</v>
      </c>
      <c r="AQ34" s="19" t="str">
        <f>IFERROR(__xludf.DUMMYFUNCTION("""COMPUTED_VALUE"""),"January")</f>
        <v>January</v>
      </c>
      <c r="AR34" s="19">
        <f>IFERROR(__xludf.DUMMYFUNCTION("""COMPUTED_VALUE"""),1.0)</f>
        <v>1</v>
      </c>
    </row>
    <row r="35">
      <c r="A35" s="1" t="s">
        <v>95</v>
      </c>
      <c r="B35" s="38" t="s">
        <v>573</v>
      </c>
      <c r="C35" s="3" t="s">
        <v>93</v>
      </c>
      <c r="D35" s="39">
        <v>45301.0</v>
      </c>
      <c r="E35" s="2">
        <v>16973.25</v>
      </c>
      <c r="F35" s="2" t="s">
        <v>13</v>
      </c>
      <c r="K35" s="3" t="s">
        <v>93</v>
      </c>
      <c r="L35" s="19" t="s">
        <v>535</v>
      </c>
      <c r="M35" s="2">
        <v>16973.25</v>
      </c>
      <c r="AL35" s="19" t="str">
        <f>IFERROR(__xludf.DUMMYFUNCTION("""COMPUTED_VALUE"""),"BANEXCO TRADERS INC. Total")</f>
        <v>BANEXCO TRADERS INC. Total</v>
      </c>
      <c r="AM35" s="19"/>
      <c r="AN35" s="19">
        <f>IFERROR(__xludf.DUMMYFUNCTION("""COMPUTED_VALUE"""),1.0)</f>
        <v>1</v>
      </c>
      <c r="AP35" s="19" t="str">
        <f>IFERROR(__xludf.DUMMYFUNCTION("""COMPUTED_VALUE"""),"BANEXCO TRADERS INC. Total")</f>
        <v>BANEXCO TRADERS INC. Total</v>
      </c>
      <c r="AQ35" s="19"/>
      <c r="AR35" s="19">
        <f>IFERROR(__xludf.DUMMYFUNCTION("""COMPUTED_VALUE"""),1.0)</f>
        <v>1</v>
      </c>
    </row>
    <row r="36">
      <c r="A36" s="1" t="s">
        <v>97</v>
      </c>
      <c r="B36" s="38" t="s">
        <v>575</v>
      </c>
      <c r="C36" s="3" t="s">
        <v>98</v>
      </c>
      <c r="D36" s="39">
        <v>45302.0</v>
      </c>
      <c r="E36" s="2">
        <v>1154.0</v>
      </c>
      <c r="F36" s="2" t="s">
        <v>13</v>
      </c>
      <c r="K36" s="3" t="s">
        <v>98</v>
      </c>
      <c r="L36" s="19" t="s">
        <v>535</v>
      </c>
      <c r="M36" s="2">
        <v>1154.0</v>
      </c>
      <c r="AL36" s="19" t="str">
        <f>IFERROR(__xludf.DUMMYFUNCTION("""COMPUTED_VALUE"""),"CHARVERSON WOOD INDUSTRY INC.")</f>
        <v>CHARVERSON WOOD INDUSTRY INC.</v>
      </c>
      <c r="AM36" s="19" t="str">
        <f>IFERROR(__xludf.DUMMYFUNCTION("""COMPUTED_VALUE"""),"January")</f>
        <v>January</v>
      </c>
      <c r="AN36" s="19">
        <f>IFERROR(__xludf.DUMMYFUNCTION("""COMPUTED_VALUE"""),2.0)</f>
        <v>2</v>
      </c>
      <c r="AP36" s="19" t="str">
        <f>IFERROR(__xludf.DUMMYFUNCTION("""COMPUTED_VALUE"""),"CHARVERSON WOOD INDUSTRY INC.")</f>
        <v>CHARVERSON WOOD INDUSTRY INC.</v>
      </c>
      <c r="AQ36" s="19" t="str">
        <f>IFERROR(__xludf.DUMMYFUNCTION("""COMPUTED_VALUE"""),"January")</f>
        <v>January</v>
      </c>
      <c r="AR36" s="19">
        <f>IFERROR(__xludf.DUMMYFUNCTION("""COMPUTED_VALUE"""),2.0)</f>
        <v>2</v>
      </c>
    </row>
    <row r="37">
      <c r="A37" s="1" t="s">
        <v>100</v>
      </c>
      <c r="B37" s="38" t="s">
        <v>575</v>
      </c>
      <c r="C37" s="3" t="s">
        <v>98</v>
      </c>
      <c r="D37" s="39">
        <v>45302.0</v>
      </c>
      <c r="E37" s="2">
        <v>3031.5</v>
      </c>
      <c r="F37" s="2" t="s">
        <v>13</v>
      </c>
      <c r="K37" s="3" t="s">
        <v>98</v>
      </c>
      <c r="L37" s="19" t="s">
        <v>535</v>
      </c>
      <c r="M37" s="2">
        <v>3031.5</v>
      </c>
      <c r="AL37" s="19" t="str">
        <f>IFERROR(__xludf.DUMMYFUNCTION("""COMPUTED_VALUE"""),"CHARVERSON WOOD INDUSTRY INC. Total")</f>
        <v>CHARVERSON WOOD INDUSTRY INC. Total</v>
      </c>
      <c r="AM37" s="19"/>
      <c r="AN37" s="19">
        <f>IFERROR(__xludf.DUMMYFUNCTION("""COMPUTED_VALUE"""),2.0)</f>
        <v>2</v>
      </c>
      <c r="AP37" s="19" t="str">
        <f>IFERROR(__xludf.DUMMYFUNCTION("""COMPUTED_VALUE"""),"CHARVERSON WOOD INDUSTRY INC. Total")</f>
        <v>CHARVERSON WOOD INDUSTRY INC. Total</v>
      </c>
      <c r="AQ37" s="19"/>
      <c r="AR37" s="19">
        <f>IFERROR(__xludf.DUMMYFUNCTION("""COMPUTED_VALUE"""),2.0)</f>
        <v>2</v>
      </c>
    </row>
    <row r="38">
      <c r="A38" s="1" t="s">
        <v>102</v>
      </c>
      <c r="B38" s="38" t="s">
        <v>577</v>
      </c>
      <c r="C38" s="3" t="s">
        <v>103</v>
      </c>
      <c r="D38" s="39">
        <v>45302.0</v>
      </c>
      <c r="E38" s="2">
        <v>4490.4</v>
      </c>
      <c r="F38" s="2" t="s">
        <v>13</v>
      </c>
      <c r="K38" s="3" t="s">
        <v>103</v>
      </c>
      <c r="L38" s="19" t="s">
        <v>535</v>
      </c>
      <c r="M38" s="2">
        <v>4490.4</v>
      </c>
      <c r="AL38" s="19" t="str">
        <f>IFERROR(__xludf.DUMMYFUNCTION("""COMPUTED_VALUE"""),"CHEVRON PHILIPPINES INC. (FORMER CALTEX)")</f>
        <v>CHEVRON PHILIPPINES INC. (FORMER CALTEX)</v>
      </c>
      <c r="AM38" s="19" t="str">
        <f>IFERROR(__xludf.DUMMYFUNCTION("""COMPUTED_VALUE"""),"February")</f>
        <v>February</v>
      </c>
      <c r="AN38" s="19">
        <f>IFERROR(__xludf.DUMMYFUNCTION("""COMPUTED_VALUE"""),1.0)</f>
        <v>1</v>
      </c>
      <c r="AP38" s="19" t="str">
        <f>IFERROR(__xludf.DUMMYFUNCTION("""COMPUTED_VALUE"""),"CHEVRON PHILIPPINES INC. (FORMER CALTEX)")</f>
        <v>CHEVRON PHILIPPINES INC. (FORMER CALTEX)</v>
      </c>
      <c r="AQ38" s="19" t="str">
        <f>IFERROR(__xludf.DUMMYFUNCTION("""COMPUTED_VALUE"""),"February")</f>
        <v>February</v>
      </c>
      <c r="AR38" s="19">
        <f>IFERROR(__xludf.DUMMYFUNCTION("""COMPUTED_VALUE"""),1.0)</f>
        <v>1</v>
      </c>
    </row>
    <row r="39">
      <c r="A39" s="1" t="s">
        <v>105</v>
      </c>
      <c r="B39" s="38" t="s">
        <v>579</v>
      </c>
      <c r="C39" s="3" t="s">
        <v>106</v>
      </c>
      <c r="D39" s="39">
        <v>45302.0</v>
      </c>
      <c r="E39" s="2">
        <v>10550.0</v>
      </c>
      <c r="F39" s="2" t="s">
        <v>9</v>
      </c>
      <c r="K39" s="3" t="s">
        <v>106</v>
      </c>
      <c r="L39" s="19" t="s">
        <v>535</v>
      </c>
      <c r="M39" s="2">
        <v>10550.0</v>
      </c>
      <c r="AL39" s="19" t="str">
        <f>IFERROR(__xludf.DUMMYFUNCTION("""COMPUTED_VALUE"""),"CHEVRON PHILIPPINES INC. (FORMER CALTEX) Total")</f>
        <v>CHEVRON PHILIPPINES INC. (FORMER CALTEX) Total</v>
      </c>
      <c r="AM39" s="19"/>
      <c r="AN39" s="19">
        <f>IFERROR(__xludf.DUMMYFUNCTION("""COMPUTED_VALUE"""),1.0)</f>
        <v>1</v>
      </c>
      <c r="AP39" s="19" t="str">
        <f>IFERROR(__xludf.DUMMYFUNCTION("""COMPUTED_VALUE"""),"CHEVRON PHILIPPINES INC. (FORMER CALTEX) Total")</f>
        <v>CHEVRON PHILIPPINES INC. (FORMER CALTEX) Total</v>
      </c>
      <c r="AQ39" s="19"/>
      <c r="AR39" s="19">
        <f>IFERROR(__xludf.DUMMYFUNCTION("""COMPUTED_VALUE"""),1.0)</f>
        <v>1</v>
      </c>
    </row>
    <row r="40">
      <c r="A40" s="1" t="s">
        <v>108</v>
      </c>
      <c r="B40" s="38" t="s">
        <v>569</v>
      </c>
      <c r="C40" s="3" t="s">
        <v>84</v>
      </c>
      <c r="D40" s="39">
        <v>45303.0</v>
      </c>
      <c r="E40" s="2">
        <v>744.0</v>
      </c>
      <c r="F40" s="2" t="s">
        <v>13</v>
      </c>
      <c r="K40" s="3" t="s">
        <v>84</v>
      </c>
      <c r="L40" s="19" t="s">
        <v>535</v>
      </c>
      <c r="M40" s="2">
        <v>744.0</v>
      </c>
      <c r="AL40" s="19" t="str">
        <f>IFERROR(__xludf.DUMMYFUNCTION("""COMPUTED_VALUE"""),"CITY GOVERNMENT OF DAVAO")</f>
        <v>CITY GOVERNMENT OF DAVAO</v>
      </c>
      <c r="AM40" s="19" t="str">
        <f>IFERROR(__xludf.DUMMYFUNCTION("""COMPUTED_VALUE"""),"November")</f>
        <v>November</v>
      </c>
      <c r="AN40" s="19">
        <f>IFERROR(__xludf.DUMMYFUNCTION("""COMPUTED_VALUE"""),1.0)</f>
        <v>1</v>
      </c>
      <c r="AP40" s="19" t="str">
        <f>IFERROR(__xludf.DUMMYFUNCTION("""COMPUTED_VALUE"""),"CITY GOVERNMENT OF DAVAO")</f>
        <v>CITY GOVERNMENT OF DAVAO</v>
      </c>
      <c r="AQ40" s="19" t="str">
        <f>IFERROR(__xludf.DUMMYFUNCTION("""COMPUTED_VALUE"""),"November")</f>
        <v>November</v>
      </c>
      <c r="AR40" s="19">
        <f>IFERROR(__xludf.DUMMYFUNCTION("""COMPUTED_VALUE"""),1.0)</f>
        <v>1</v>
      </c>
    </row>
    <row r="41">
      <c r="A41" s="1" t="s">
        <v>110</v>
      </c>
      <c r="B41" s="38" t="s">
        <v>582</v>
      </c>
      <c r="C41" s="3" t="s">
        <v>111</v>
      </c>
      <c r="D41" s="39">
        <v>45303.0</v>
      </c>
      <c r="E41" s="2">
        <v>1873.1</v>
      </c>
      <c r="F41" s="2" t="s">
        <v>13</v>
      </c>
      <c r="K41" s="3" t="s">
        <v>111</v>
      </c>
      <c r="L41" s="19" t="s">
        <v>535</v>
      </c>
      <c r="M41" s="2">
        <v>1873.1</v>
      </c>
      <c r="AL41" s="19" t="str">
        <f>IFERROR(__xludf.DUMMYFUNCTION("""COMPUTED_VALUE"""),"CITY GOVERNMENT OF DAVAO Total")</f>
        <v>CITY GOVERNMENT OF DAVAO Total</v>
      </c>
      <c r="AM41" s="19"/>
      <c r="AN41" s="19">
        <f>IFERROR(__xludf.DUMMYFUNCTION("""COMPUTED_VALUE"""),1.0)</f>
        <v>1</v>
      </c>
      <c r="AP41" s="19" t="str">
        <f>IFERROR(__xludf.DUMMYFUNCTION("""COMPUTED_VALUE"""),"CITY GOVERNMENT OF DAVAO Total")</f>
        <v>CITY GOVERNMENT OF DAVAO Total</v>
      </c>
      <c r="AQ41" s="19"/>
      <c r="AR41" s="19">
        <f>IFERROR(__xludf.DUMMYFUNCTION("""COMPUTED_VALUE"""),1.0)</f>
        <v>1</v>
      </c>
    </row>
    <row r="42">
      <c r="A42" s="1" t="s">
        <v>113</v>
      </c>
      <c r="B42" s="38" t="s">
        <v>569</v>
      </c>
      <c r="C42" s="3" t="s">
        <v>84</v>
      </c>
      <c r="D42" s="39">
        <v>45303.0</v>
      </c>
      <c r="E42" s="2">
        <v>1995.5</v>
      </c>
      <c r="F42" s="2" t="s">
        <v>13</v>
      </c>
      <c r="K42" s="3" t="s">
        <v>84</v>
      </c>
      <c r="L42" s="19" t="s">
        <v>535</v>
      </c>
      <c r="M42" s="2">
        <v>1995.5</v>
      </c>
      <c r="AL42" s="19" t="str">
        <f>IFERROR(__xludf.DUMMYFUNCTION("""COMPUTED_VALUE"""),"CIVIL SERVICE COMMISSION-REG. XI")</f>
        <v>CIVIL SERVICE COMMISSION-REG. XI</v>
      </c>
      <c r="AM42" s="19" t="str">
        <f>IFERROR(__xludf.DUMMYFUNCTION("""COMPUTED_VALUE"""),"February")</f>
        <v>February</v>
      </c>
      <c r="AN42" s="19">
        <f>IFERROR(__xludf.DUMMYFUNCTION("""COMPUTED_VALUE"""),1.0)</f>
        <v>1</v>
      </c>
      <c r="AP42" s="19" t="str">
        <f>IFERROR(__xludf.DUMMYFUNCTION("""COMPUTED_VALUE"""),"CIVIL SERVICE COMMISSION-REG. XI")</f>
        <v>CIVIL SERVICE COMMISSION-REG. XI</v>
      </c>
      <c r="AQ42" s="19" t="str">
        <f>IFERROR(__xludf.DUMMYFUNCTION("""COMPUTED_VALUE"""),"February")</f>
        <v>February</v>
      </c>
      <c r="AR42" s="19">
        <f>IFERROR(__xludf.DUMMYFUNCTION("""COMPUTED_VALUE"""),1.0)</f>
        <v>1</v>
      </c>
    </row>
    <row r="43">
      <c r="A43" s="1" t="s">
        <v>115</v>
      </c>
      <c r="B43" s="38" t="s">
        <v>583</v>
      </c>
      <c r="C43" s="3" t="s">
        <v>116</v>
      </c>
      <c r="D43" s="39">
        <v>45303.0</v>
      </c>
      <c r="E43" s="2">
        <v>2113.6</v>
      </c>
      <c r="F43" s="2" t="s">
        <v>13</v>
      </c>
      <c r="K43" s="3" t="s">
        <v>116</v>
      </c>
      <c r="L43" s="19" t="s">
        <v>535</v>
      </c>
      <c r="M43" s="2">
        <v>2113.6</v>
      </c>
      <c r="AL43" s="19"/>
      <c r="AM43" s="19" t="str">
        <f>IFERROR(__xludf.DUMMYFUNCTION("""COMPUTED_VALUE"""),"January")</f>
        <v>January</v>
      </c>
      <c r="AN43" s="19">
        <f>IFERROR(__xludf.DUMMYFUNCTION("""COMPUTED_VALUE"""),5.0)</f>
        <v>5</v>
      </c>
      <c r="AP43" s="19"/>
      <c r="AQ43" s="19" t="str">
        <f>IFERROR(__xludf.DUMMYFUNCTION("""COMPUTED_VALUE"""),"January")</f>
        <v>January</v>
      </c>
      <c r="AR43" s="19">
        <f>IFERROR(__xludf.DUMMYFUNCTION("""COMPUTED_VALUE"""),5.0)</f>
        <v>5</v>
      </c>
    </row>
    <row r="44">
      <c r="A44" s="1" t="s">
        <v>118</v>
      </c>
      <c r="B44" s="38" t="s">
        <v>585</v>
      </c>
      <c r="C44" s="3" t="s">
        <v>119</v>
      </c>
      <c r="D44" s="39">
        <v>45303.0</v>
      </c>
      <c r="E44" s="2">
        <v>4800.0</v>
      </c>
      <c r="F44" s="2" t="s">
        <v>9</v>
      </c>
      <c r="K44" s="3" t="s">
        <v>119</v>
      </c>
      <c r="L44" s="19" t="s">
        <v>535</v>
      </c>
      <c r="M44" s="2">
        <v>4800.0</v>
      </c>
      <c r="AL44" s="19" t="str">
        <f>IFERROR(__xludf.DUMMYFUNCTION("""COMPUTED_VALUE"""),"CIVIL SERVICE COMMISSION-REG. XI Total")</f>
        <v>CIVIL SERVICE COMMISSION-REG. XI Total</v>
      </c>
      <c r="AM44" s="19"/>
      <c r="AN44" s="19">
        <f>IFERROR(__xludf.DUMMYFUNCTION("""COMPUTED_VALUE"""),6.0)</f>
        <v>6</v>
      </c>
      <c r="AP44" s="19" t="str">
        <f>IFERROR(__xludf.DUMMYFUNCTION("""COMPUTED_VALUE"""),"CIVIL SERVICE COMMISSION-REG. XI Total")</f>
        <v>CIVIL SERVICE COMMISSION-REG. XI Total</v>
      </c>
      <c r="AQ44" s="19"/>
      <c r="AR44" s="19">
        <f>IFERROR(__xludf.DUMMYFUNCTION("""COMPUTED_VALUE"""),6.0)</f>
        <v>6</v>
      </c>
    </row>
    <row r="45">
      <c r="A45" s="1" t="s">
        <v>121</v>
      </c>
      <c r="B45" s="38" t="s">
        <v>538</v>
      </c>
      <c r="C45" s="3" t="s">
        <v>18</v>
      </c>
      <c r="D45" s="39">
        <v>45304.0</v>
      </c>
      <c r="E45" s="2">
        <v>711.0</v>
      </c>
      <c r="F45" s="2" t="s">
        <v>13</v>
      </c>
      <c r="K45" s="3" t="s">
        <v>18</v>
      </c>
      <c r="L45" s="19" t="s">
        <v>535</v>
      </c>
      <c r="M45" s="2">
        <v>711.0</v>
      </c>
      <c r="AL45" s="19" t="str">
        <f>IFERROR(__xludf.DUMMYFUNCTION("""COMPUTED_VALUE"""),"COMFAC CORPORATION")</f>
        <v>COMFAC CORPORATION</v>
      </c>
      <c r="AM45" s="19" t="str">
        <f>IFERROR(__xludf.DUMMYFUNCTION("""COMPUTED_VALUE"""),"January")</f>
        <v>January</v>
      </c>
      <c r="AN45" s="19">
        <f>IFERROR(__xludf.DUMMYFUNCTION("""COMPUTED_VALUE"""),4.0)</f>
        <v>4</v>
      </c>
      <c r="AP45" s="19" t="str">
        <f>IFERROR(__xludf.DUMMYFUNCTION("""COMPUTED_VALUE"""),"COMFAC CORPORATION")</f>
        <v>COMFAC CORPORATION</v>
      </c>
      <c r="AQ45" s="19" t="str">
        <f>IFERROR(__xludf.DUMMYFUNCTION("""COMPUTED_VALUE"""),"January")</f>
        <v>January</v>
      </c>
      <c r="AR45" s="19">
        <f>IFERROR(__xludf.DUMMYFUNCTION("""COMPUTED_VALUE"""),4.0)</f>
        <v>4</v>
      </c>
    </row>
    <row r="46">
      <c r="A46" s="1" t="s">
        <v>123</v>
      </c>
      <c r="B46" s="38" t="s">
        <v>538</v>
      </c>
      <c r="C46" s="3" t="s">
        <v>18</v>
      </c>
      <c r="D46" s="39">
        <v>45304.0</v>
      </c>
      <c r="E46" s="2">
        <v>1289.35</v>
      </c>
      <c r="F46" s="2" t="s">
        <v>13</v>
      </c>
      <c r="K46" s="3" t="s">
        <v>18</v>
      </c>
      <c r="L46" s="19" t="s">
        <v>535</v>
      </c>
      <c r="M46" s="2">
        <v>1289.35</v>
      </c>
      <c r="AL46" s="19" t="str">
        <f>IFERROR(__xludf.DUMMYFUNCTION("""COMPUTED_VALUE"""),"COMFAC CORPORATION Total")</f>
        <v>COMFAC CORPORATION Total</v>
      </c>
      <c r="AM46" s="19"/>
      <c r="AN46" s="19">
        <f>IFERROR(__xludf.DUMMYFUNCTION("""COMPUTED_VALUE"""),4.0)</f>
        <v>4</v>
      </c>
      <c r="AP46" s="19" t="str">
        <f>IFERROR(__xludf.DUMMYFUNCTION("""COMPUTED_VALUE"""),"COMFAC CORPORATION Total")</f>
        <v>COMFAC CORPORATION Total</v>
      </c>
      <c r="AQ46" s="19"/>
      <c r="AR46" s="19">
        <f>IFERROR(__xludf.DUMMYFUNCTION("""COMPUTED_VALUE"""),4.0)</f>
        <v>4</v>
      </c>
    </row>
    <row r="47">
      <c r="A47" s="1" t="s">
        <v>125</v>
      </c>
      <c r="B47" s="38" t="s">
        <v>538</v>
      </c>
      <c r="C47" s="3" t="s">
        <v>18</v>
      </c>
      <c r="D47" s="39">
        <v>45304.0</v>
      </c>
      <c r="E47" s="2">
        <v>1806.0</v>
      </c>
      <c r="F47" s="2" t="s">
        <v>13</v>
      </c>
      <c r="K47" s="3" t="s">
        <v>18</v>
      </c>
      <c r="L47" s="19" t="s">
        <v>535</v>
      </c>
      <c r="M47" s="2">
        <v>1806.0</v>
      </c>
      <c r="AL47" s="19" t="str">
        <f>IFERROR(__xludf.DUMMYFUNCTION("""COMPUTED_VALUE"""),"COMMISSION ON AUDIT")</f>
        <v>COMMISSION ON AUDIT</v>
      </c>
      <c r="AM47" s="19" t="str">
        <f>IFERROR(__xludf.DUMMYFUNCTION("""COMPUTED_VALUE"""),"February")</f>
        <v>February</v>
      </c>
      <c r="AN47" s="19">
        <f>IFERROR(__xludf.DUMMYFUNCTION("""COMPUTED_VALUE"""),1.0)</f>
        <v>1</v>
      </c>
      <c r="AP47" s="19" t="str">
        <f>IFERROR(__xludf.DUMMYFUNCTION("""COMPUTED_VALUE"""),"COMMISSION ON AUDIT")</f>
        <v>COMMISSION ON AUDIT</v>
      </c>
      <c r="AQ47" s="19" t="str">
        <f>IFERROR(__xludf.DUMMYFUNCTION("""COMPUTED_VALUE"""),"February")</f>
        <v>February</v>
      </c>
      <c r="AR47" s="19">
        <f>IFERROR(__xludf.DUMMYFUNCTION("""COMPUTED_VALUE"""),1.0)</f>
        <v>1</v>
      </c>
    </row>
    <row r="48">
      <c r="A48" s="1" t="s">
        <v>127</v>
      </c>
      <c r="B48" s="38" t="s">
        <v>588</v>
      </c>
      <c r="C48" s="3" t="s">
        <v>128</v>
      </c>
      <c r="D48" s="39">
        <v>45306.0</v>
      </c>
      <c r="E48" s="2">
        <v>3700.8</v>
      </c>
      <c r="F48" s="2" t="s">
        <v>13</v>
      </c>
      <c r="K48" s="3" t="s">
        <v>128</v>
      </c>
      <c r="L48" s="19" t="s">
        <v>535</v>
      </c>
      <c r="M48" s="2">
        <v>3700.8</v>
      </c>
      <c r="AL48" s="19" t="str">
        <f>IFERROR(__xludf.DUMMYFUNCTION("""COMPUTED_VALUE"""),"COMMISSION ON AUDIT Total")</f>
        <v>COMMISSION ON AUDIT Total</v>
      </c>
      <c r="AM48" s="19"/>
      <c r="AN48" s="19">
        <f>IFERROR(__xludf.DUMMYFUNCTION("""COMPUTED_VALUE"""),1.0)</f>
        <v>1</v>
      </c>
      <c r="AP48" s="19" t="str">
        <f>IFERROR(__xludf.DUMMYFUNCTION("""COMPUTED_VALUE"""),"COMMISSION ON AUDIT Total")</f>
        <v>COMMISSION ON AUDIT Total</v>
      </c>
      <c r="AQ48" s="19"/>
      <c r="AR48" s="19">
        <f>IFERROR(__xludf.DUMMYFUNCTION("""COMPUTED_VALUE"""),1.0)</f>
        <v>1</v>
      </c>
    </row>
    <row r="49">
      <c r="A49" s="1" t="s">
        <v>130</v>
      </c>
      <c r="B49" s="38" t="s">
        <v>589</v>
      </c>
      <c r="C49" s="3" t="s">
        <v>131</v>
      </c>
      <c r="D49" s="39">
        <v>45306.0</v>
      </c>
      <c r="E49" s="2">
        <v>3720.0</v>
      </c>
      <c r="F49" s="2" t="s">
        <v>13</v>
      </c>
      <c r="K49" s="3" t="s">
        <v>131</v>
      </c>
      <c r="L49" s="19" t="s">
        <v>535</v>
      </c>
      <c r="M49" s="2">
        <v>3720.0</v>
      </c>
      <c r="AL49" s="19" t="str">
        <f>IFERROR(__xludf.DUMMYFUNCTION("""COMPUTED_VALUE"""),"CONSULATE GENERAL OF JAPAN")</f>
        <v>CONSULATE GENERAL OF JAPAN</v>
      </c>
      <c r="AM49" s="19" t="str">
        <f>IFERROR(__xludf.DUMMYFUNCTION("""COMPUTED_VALUE"""),"February")</f>
        <v>February</v>
      </c>
      <c r="AN49" s="19">
        <f>IFERROR(__xludf.DUMMYFUNCTION("""COMPUTED_VALUE"""),2.0)</f>
        <v>2</v>
      </c>
      <c r="AP49" s="19" t="str">
        <f>IFERROR(__xludf.DUMMYFUNCTION("""COMPUTED_VALUE"""),"CONSULATE GENERAL OF JAPAN")</f>
        <v>CONSULATE GENERAL OF JAPAN</v>
      </c>
      <c r="AQ49" s="19" t="str">
        <f>IFERROR(__xludf.DUMMYFUNCTION("""COMPUTED_VALUE"""),"February")</f>
        <v>February</v>
      </c>
      <c r="AR49" s="19">
        <f>IFERROR(__xludf.DUMMYFUNCTION("""COMPUTED_VALUE"""),2.0)</f>
        <v>2</v>
      </c>
    </row>
    <row r="50">
      <c r="A50" s="1" t="s">
        <v>133</v>
      </c>
      <c r="B50" s="38" t="s">
        <v>591</v>
      </c>
      <c r="C50" s="3" t="s">
        <v>134</v>
      </c>
      <c r="D50" s="39">
        <v>45306.0</v>
      </c>
      <c r="E50" s="2">
        <v>5500.0</v>
      </c>
      <c r="F50" s="2" t="s">
        <v>13</v>
      </c>
      <c r="K50" s="3" t="s">
        <v>134</v>
      </c>
      <c r="L50" s="19" t="s">
        <v>535</v>
      </c>
      <c r="M50" s="2">
        <v>5500.0</v>
      </c>
      <c r="AL50" s="19" t="str">
        <f>IFERROR(__xludf.DUMMYFUNCTION("""COMPUTED_VALUE"""),"CONSULATE GENERAL OF JAPAN Total")</f>
        <v>CONSULATE GENERAL OF JAPAN Total</v>
      </c>
      <c r="AM50" s="19"/>
      <c r="AN50" s="19">
        <f>IFERROR(__xludf.DUMMYFUNCTION("""COMPUTED_VALUE"""),2.0)</f>
        <v>2</v>
      </c>
      <c r="AP50" s="19" t="str">
        <f>IFERROR(__xludf.DUMMYFUNCTION("""COMPUTED_VALUE"""),"CONSULATE GENERAL OF JAPAN Total")</f>
        <v>CONSULATE GENERAL OF JAPAN Total</v>
      </c>
      <c r="AQ50" s="19"/>
      <c r="AR50" s="19">
        <f>IFERROR(__xludf.DUMMYFUNCTION("""COMPUTED_VALUE"""),2.0)</f>
        <v>2</v>
      </c>
    </row>
    <row r="51">
      <c r="A51" s="1" t="s">
        <v>136</v>
      </c>
      <c r="B51" s="38" t="s">
        <v>592</v>
      </c>
      <c r="C51" s="3" t="s">
        <v>137</v>
      </c>
      <c r="D51" s="39">
        <v>45306.0</v>
      </c>
      <c r="E51" s="2">
        <v>15998.0</v>
      </c>
      <c r="F51" s="2" t="s">
        <v>139</v>
      </c>
      <c r="K51" s="3" t="s">
        <v>137</v>
      </c>
      <c r="L51" s="19" t="s">
        <v>535</v>
      </c>
      <c r="M51" s="2">
        <v>15998.0</v>
      </c>
      <c r="AL51" s="19" t="str">
        <f>IFERROR(__xludf.DUMMYFUNCTION("""COMPUTED_VALUE"""),"DAVAO CONCRETE POLES CORPORATION")</f>
        <v>DAVAO CONCRETE POLES CORPORATION</v>
      </c>
      <c r="AM51" s="19" t="str">
        <f>IFERROR(__xludf.DUMMYFUNCTION("""COMPUTED_VALUE"""),"February")</f>
        <v>February</v>
      </c>
      <c r="AN51" s="19">
        <f>IFERROR(__xludf.DUMMYFUNCTION("""COMPUTED_VALUE"""),2.0)</f>
        <v>2</v>
      </c>
      <c r="AP51" s="19" t="str">
        <f>IFERROR(__xludf.DUMMYFUNCTION("""COMPUTED_VALUE"""),"DAVAO CONCRETE POLES CORPORATION")</f>
        <v>DAVAO CONCRETE POLES CORPORATION</v>
      </c>
      <c r="AQ51" s="19" t="str">
        <f>IFERROR(__xludf.DUMMYFUNCTION("""COMPUTED_VALUE"""),"February")</f>
        <v>February</v>
      </c>
      <c r="AR51" s="19">
        <f>IFERROR(__xludf.DUMMYFUNCTION("""COMPUTED_VALUE"""),2.0)</f>
        <v>2</v>
      </c>
    </row>
    <row r="52">
      <c r="A52" s="1" t="s">
        <v>140</v>
      </c>
      <c r="B52" s="38" t="s">
        <v>537</v>
      </c>
      <c r="C52" s="3" t="s">
        <v>15</v>
      </c>
      <c r="D52" s="39">
        <v>45307.0</v>
      </c>
      <c r="E52" s="2">
        <v>324.0</v>
      </c>
      <c r="F52" s="2" t="s">
        <v>13</v>
      </c>
      <c r="K52" s="3" t="s">
        <v>15</v>
      </c>
      <c r="L52" s="19" t="s">
        <v>535</v>
      </c>
      <c r="M52" s="2">
        <v>324.0</v>
      </c>
      <c r="AL52" s="19"/>
      <c r="AM52" s="19" t="str">
        <f>IFERROR(__xludf.DUMMYFUNCTION("""COMPUTED_VALUE"""),"January")</f>
        <v>January</v>
      </c>
      <c r="AN52" s="19">
        <f>IFERROR(__xludf.DUMMYFUNCTION("""COMPUTED_VALUE"""),1.0)</f>
        <v>1</v>
      </c>
      <c r="AP52" s="19"/>
      <c r="AQ52" s="19" t="str">
        <f>IFERROR(__xludf.DUMMYFUNCTION("""COMPUTED_VALUE"""),"January")</f>
        <v>January</v>
      </c>
      <c r="AR52" s="19">
        <f>IFERROR(__xludf.DUMMYFUNCTION("""COMPUTED_VALUE"""),1.0)</f>
        <v>1</v>
      </c>
    </row>
    <row r="53">
      <c r="A53" s="1" t="s">
        <v>142</v>
      </c>
      <c r="B53" s="38" t="s">
        <v>582</v>
      </c>
      <c r="C53" s="3" t="s">
        <v>111</v>
      </c>
      <c r="D53" s="39">
        <v>45307.0</v>
      </c>
      <c r="E53" s="2">
        <v>569.8</v>
      </c>
      <c r="F53" s="2" t="s">
        <v>13</v>
      </c>
      <c r="K53" s="3" t="s">
        <v>111</v>
      </c>
      <c r="L53" s="19" t="s">
        <v>535</v>
      </c>
      <c r="M53" s="2">
        <v>569.8</v>
      </c>
      <c r="AL53" s="19" t="str">
        <f>IFERROR(__xludf.DUMMYFUNCTION("""COMPUTED_VALUE"""),"DAVAO CONCRETE POLES CORPORATION Total")</f>
        <v>DAVAO CONCRETE POLES CORPORATION Total</v>
      </c>
      <c r="AM53" s="19"/>
      <c r="AN53" s="19">
        <f>IFERROR(__xludf.DUMMYFUNCTION("""COMPUTED_VALUE"""),3.0)</f>
        <v>3</v>
      </c>
      <c r="AP53" s="19" t="str">
        <f>IFERROR(__xludf.DUMMYFUNCTION("""COMPUTED_VALUE"""),"DAVAO CONCRETE POLES CORPORATION Total")</f>
        <v>DAVAO CONCRETE POLES CORPORATION Total</v>
      </c>
      <c r="AQ53" s="19"/>
      <c r="AR53" s="19">
        <f>IFERROR(__xludf.DUMMYFUNCTION("""COMPUTED_VALUE"""),3.0)</f>
        <v>3</v>
      </c>
    </row>
    <row r="54">
      <c r="A54" s="1" t="s">
        <v>144</v>
      </c>
      <c r="B54" s="38" t="s">
        <v>594</v>
      </c>
      <c r="C54" s="3" t="s">
        <v>145</v>
      </c>
      <c r="D54" s="39">
        <v>45307.0</v>
      </c>
      <c r="E54" s="2">
        <v>1172.0</v>
      </c>
      <c r="F54" s="2" t="s">
        <v>13</v>
      </c>
      <c r="K54" s="3" t="s">
        <v>145</v>
      </c>
      <c r="L54" s="19" t="s">
        <v>535</v>
      </c>
      <c r="M54" s="2">
        <v>1172.0</v>
      </c>
      <c r="AL54" s="19" t="str">
        <f>IFERROR(__xludf.DUMMYFUNCTION("""COMPUTED_VALUE"""),"DAVAO EYEMDS LASER AND SURGERY CENTER")</f>
        <v>DAVAO EYEMDS LASER AND SURGERY CENTER</v>
      </c>
      <c r="AM54" s="19" t="str">
        <f>IFERROR(__xludf.DUMMYFUNCTION("""COMPUTED_VALUE"""),"February")</f>
        <v>February</v>
      </c>
      <c r="AN54" s="19">
        <f>IFERROR(__xludf.DUMMYFUNCTION("""COMPUTED_VALUE"""),1.0)</f>
        <v>1</v>
      </c>
      <c r="AP54" s="19" t="str">
        <f>IFERROR(__xludf.DUMMYFUNCTION("""COMPUTED_VALUE"""),"DAVAO EYEMDS LASER AND SURGERY CENTER")</f>
        <v>DAVAO EYEMDS LASER AND SURGERY CENTER</v>
      </c>
      <c r="AQ54" s="19" t="str">
        <f>IFERROR(__xludf.DUMMYFUNCTION("""COMPUTED_VALUE"""),"February")</f>
        <v>February</v>
      </c>
      <c r="AR54" s="19">
        <f>IFERROR(__xludf.DUMMYFUNCTION("""COMPUTED_VALUE"""),1.0)</f>
        <v>1</v>
      </c>
    </row>
    <row r="55">
      <c r="A55" s="1" t="s">
        <v>147</v>
      </c>
      <c r="B55" s="38" t="s">
        <v>596</v>
      </c>
      <c r="C55" s="3" t="s">
        <v>148</v>
      </c>
      <c r="D55" s="39">
        <v>45307.0</v>
      </c>
      <c r="E55" s="2">
        <v>2526.5</v>
      </c>
      <c r="F55" s="2" t="s">
        <v>13</v>
      </c>
      <c r="K55" s="3" t="s">
        <v>148</v>
      </c>
      <c r="L55" s="19" t="s">
        <v>535</v>
      </c>
      <c r="M55" s="2">
        <v>2526.5</v>
      </c>
      <c r="AL55" s="19" t="str">
        <f>IFERROR(__xludf.DUMMYFUNCTION("""COMPUTED_VALUE"""),"DAVAO EYEMDS LASER AND SURGERY CENTER Total")</f>
        <v>DAVAO EYEMDS LASER AND SURGERY CENTER Total</v>
      </c>
      <c r="AM55" s="19"/>
      <c r="AN55" s="19">
        <f>IFERROR(__xludf.DUMMYFUNCTION("""COMPUTED_VALUE"""),1.0)</f>
        <v>1</v>
      </c>
      <c r="AP55" s="19" t="str">
        <f>IFERROR(__xludf.DUMMYFUNCTION("""COMPUTED_VALUE"""),"DAVAO EYEMDS LASER AND SURGERY CENTER Total")</f>
        <v>DAVAO EYEMDS LASER AND SURGERY CENTER Total</v>
      </c>
      <c r="AQ55" s="19"/>
      <c r="AR55" s="19">
        <f>IFERROR(__xludf.DUMMYFUNCTION("""COMPUTED_VALUE"""),1.0)</f>
        <v>1</v>
      </c>
    </row>
    <row r="56">
      <c r="A56" s="1" t="s">
        <v>150</v>
      </c>
      <c r="B56" s="38" t="s">
        <v>594</v>
      </c>
      <c r="C56" s="3" t="s">
        <v>145</v>
      </c>
      <c r="D56" s="39">
        <v>45307.0</v>
      </c>
      <c r="E56" s="2">
        <v>2759.8</v>
      </c>
      <c r="F56" s="2" t="s">
        <v>13</v>
      </c>
      <c r="K56" s="3" t="s">
        <v>145</v>
      </c>
      <c r="L56" s="19" t="s">
        <v>535</v>
      </c>
      <c r="M56" s="2">
        <v>2759.8</v>
      </c>
      <c r="AL56" s="19" t="str">
        <f>IFERROR(__xludf.DUMMYFUNCTION("""COMPUTED_VALUE"""),"DAVAO FIBREBOARD PACKAGING PLANT INC.")</f>
        <v>DAVAO FIBREBOARD PACKAGING PLANT INC.</v>
      </c>
      <c r="AM56" s="19" t="str">
        <f>IFERROR(__xludf.DUMMYFUNCTION("""COMPUTED_VALUE"""),"January")</f>
        <v>January</v>
      </c>
      <c r="AN56" s="19">
        <f>IFERROR(__xludf.DUMMYFUNCTION("""COMPUTED_VALUE"""),1.0)</f>
        <v>1</v>
      </c>
      <c r="AP56" s="19" t="str">
        <f>IFERROR(__xludf.DUMMYFUNCTION("""COMPUTED_VALUE"""),"DAVAO FIBREBOARD PACKAGING PLANT INC.")</f>
        <v>DAVAO FIBREBOARD PACKAGING PLANT INC.</v>
      </c>
      <c r="AQ56" s="19" t="str">
        <f>IFERROR(__xludf.DUMMYFUNCTION("""COMPUTED_VALUE"""),"January")</f>
        <v>January</v>
      </c>
      <c r="AR56" s="19">
        <f>IFERROR(__xludf.DUMMYFUNCTION("""COMPUTED_VALUE"""),1.0)</f>
        <v>1</v>
      </c>
    </row>
    <row r="57">
      <c r="A57" s="1" t="s">
        <v>152</v>
      </c>
      <c r="B57" s="38" t="s">
        <v>594</v>
      </c>
      <c r="C57" s="3" t="s">
        <v>145</v>
      </c>
      <c r="D57" s="39">
        <v>45307.0</v>
      </c>
      <c r="E57" s="2">
        <v>3290.0</v>
      </c>
      <c r="F57" s="2" t="s">
        <v>13</v>
      </c>
      <c r="K57" s="3" t="s">
        <v>145</v>
      </c>
      <c r="L57" s="19" t="s">
        <v>535</v>
      </c>
      <c r="M57" s="2">
        <v>3290.0</v>
      </c>
      <c r="AL57" s="19" t="str">
        <f>IFERROR(__xludf.DUMMYFUNCTION("""COMPUTED_VALUE"""),"DAVAO FIBREBOARD PACKAGING PLANT INC. Total")</f>
        <v>DAVAO FIBREBOARD PACKAGING PLANT INC. Total</v>
      </c>
      <c r="AM57" s="19"/>
      <c r="AN57" s="19">
        <f>IFERROR(__xludf.DUMMYFUNCTION("""COMPUTED_VALUE"""),1.0)</f>
        <v>1</v>
      </c>
      <c r="AP57" s="19" t="str">
        <f>IFERROR(__xludf.DUMMYFUNCTION("""COMPUTED_VALUE"""),"DAVAO FIBREBOARD PACKAGING PLANT INC. Total")</f>
        <v>DAVAO FIBREBOARD PACKAGING PLANT INC. Total</v>
      </c>
      <c r="AQ57" s="19"/>
      <c r="AR57" s="19">
        <f>IFERROR(__xludf.DUMMYFUNCTION("""COMPUTED_VALUE"""),1.0)</f>
        <v>1</v>
      </c>
    </row>
    <row r="58">
      <c r="A58" s="1" t="s">
        <v>154</v>
      </c>
      <c r="B58" s="38" t="s">
        <v>598</v>
      </c>
      <c r="C58" s="3" t="s">
        <v>155</v>
      </c>
      <c r="D58" s="39">
        <v>45307.0</v>
      </c>
      <c r="E58" s="2">
        <v>3818.7</v>
      </c>
      <c r="F58" s="2" t="s">
        <v>13</v>
      </c>
      <c r="K58" s="3" t="s">
        <v>155</v>
      </c>
      <c r="L58" s="19" t="s">
        <v>535</v>
      </c>
      <c r="M58" s="2">
        <v>3818.7</v>
      </c>
      <c r="AL58" s="19" t="str">
        <f>IFERROR(__xludf.DUMMYFUNCTION("""COMPUTED_VALUE"""),"DAVAO GENERAL HARDWARE COMPANY")</f>
        <v>DAVAO GENERAL HARDWARE COMPANY</v>
      </c>
      <c r="AM58" s="19" t="str">
        <f>IFERROR(__xludf.DUMMYFUNCTION("""COMPUTED_VALUE"""),"February")</f>
        <v>February</v>
      </c>
      <c r="AN58" s="19">
        <f>IFERROR(__xludf.DUMMYFUNCTION("""COMPUTED_VALUE"""),1.0)</f>
        <v>1</v>
      </c>
      <c r="AP58" s="19" t="str">
        <f>IFERROR(__xludf.DUMMYFUNCTION("""COMPUTED_VALUE"""),"DAVAO GENERAL HARDWARE COMPANY")</f>
        <v>DAVAO GENERAL HARDWARE COMPANY</v>
      </c>
      <c r="AQ58" s="19" t="str">
        <f>IFERROR(__xludf.DUMMYFUNCTION("""COMPUTED_VALUE"""),"February")</f>
        <v>February</v>
      </c>
      <c r="AR58" s="19">
        <f>IFERROR(__xludf.DUMMYFUNCTION("""COMPUTED_VALUE"""),1.0)</f>
        <v>1</v>
      </c>
    </row>
    <row r="59">
      <c r="A59" s="1" t="s">
        <v>157</v>
      </c>
      <c r="B59" s="38" t="s">
        <v>598</v>
      </c>
      <c r="C59" s="3" t="s">
        <v>155</v>
      </c>
      <c r="D59" s="39">
        <v>45307.0</v>
      </c>
      <c r="E59" s="2">
        <v>4312.0</v>
      </c>
      <c r="F59" s="2" t="s">
        <v>13</v>
      </c>
      <c r="K59" s="3" t="s">
        <v>155</v>
      </c>
      <c r="L59" s="19" t="s">
        <v>535</v>
      </c>
      <c r="M59" s="2">
        <v>4312.0</v>
      </c>
      <c r="AL59" s="19" t="str">
        <f>IFERROR(__xludf.DUMMYFUNCTION("""COMPUTED_VALUE"""),"DAVAO GENERAL HARDWARE COMPANY Total")</f>
        <v>DAVAO GENERAL HARDWARE COMPANY Total</v>
      </c>
      <c r="AM59" s="19"/>
      <c r="AN59" s="19">
        <f>IFERROR(__xludf.DUMMYFUNCTION("""COMPUTED_VALUE"""),1.0)</f>
        <v>1</v>
      </c>
      <c r="AP59" s="19" t="str">
        <f>IFERROR(__xludf.DUMMYFUNCTION("""COMPUTED_VALUE"""),"DAVAO GENERAL HARDWARE COMPANY Total")</f>
        <v>DAVAO GENERAL HARDWARE COMPANY Total</v>
      </c>
      <c r="AQ59" s="19"/>
      <c r="AR59" s="19">
        <f>IFERROR(__xludf.DUMMYFUNCTION("""COMPUTED_VALUE"""),1.0)</f>
        <v>1</v>
      </c>
    </row>
    <row r="60">
      <c r="A60" s="1" t="s">
        <v>159</v>
      </c>
      <c r="B60" s="38" t="s">
        <v>600</v>
      </c>
      <c r="C60" s="3" t="s">
        <v>160</v>
      </c>
      <c r="D60" s="39">
        <v>45308.0</v>
      </c>
      <c r="E60" s="2">
        <v>773.0</v>
      </c>
      <c r="F60" s="2" t="s">
        <v>13</v>
      </c>
      <c r="K60" s="3" t="s">
        <v>160</v>
      </c>
      <c r="L60" s="19" t="s">
        <v>535</v>
      </c>
      <c r="M60" s="2">
        <v>773.0</v>
      </c>
      <c r="AL60" s="19" t="str">
        <f>IFERROR(__xludf.DUMMYFUNCTION("""COMPUTED_VALUE"""),"DEPARTMENT OF BUDGET &amp; MANAGEMENT")</f>
        <v>DEPARTMENT OF BUDGET &amp; MANAGEMENT</v>
      </c>
      <c r="AM60" s="19" t="str">
        <f>IFERROR(__xludf.DUMMYFUNCTION("""COMPUTED_VALUE"""),"February")</f>
        <v>February</v>
      </c>
      <c r="AN60" s="19">
        <f>IFERROR(__xludf.DUMMYFUNCTION("""COMPUTED_VALUE"""),1.0)</f>
        <v>1</v>
      </c>
      <c r="AP60" s="19" t="str">
        <f>IFERROR(__xludf.DUMMYFUNCTION("""COMPUTED_VALUE"""),"DEPARTMENT OF BUDGET &amp; MANAGEMENT")</f>
        <v>DEPARTMENT OF BUDGET &amp; MANAGEMENT</v>
      </c>
      <c r="AQ60" s="19" t="str">
        <f>IFERROR(__xludf.DUMMYFUNCTION("""COMPUTED_VALUE"""),"February")</f>
        <v>February</v>
      </c>
      <c r="AR60" s="19">
        <f>IFERROR(__xludf.DUMMYFUNCTION("""COMPUTED_VALUE"""),1.0)</f>
        <v>1</v>
      </c>
    </row>
    <row r="61">
      <c r="A61" s="1" t="s">
        <v>162</v>
      </c>
      <c r="B61" s="38" t="s">
        <v>602</v>
      </c>
      <c r="C61" s="3" t="s">
        <v>163</v>
      </c>
      <c r="D61" s="39">
        <v>45308.0</v>
      </c>
      <c r="E61" s="2">
        <v>2586.0</v>
      </c>
      <c r="F61" s="2" t="s">
        <v>13</v>
      </c>
      <c r="K61" s="3" t="s">
        <v>163</v>
      </c>
      <c r="L61" s="19" t="s">
        <v>535</v>
      </c>
      <c r="M61" s="2">
        <v>2586.0</v>
      </c>
      <c r="AL61" s="19" t="str">
        <f>IFERROR(__xludf.DUMMYFUNCTION("""COMPUTED_VALUE"""),"DEPARTMENT OF BUDGET &amp; MANAGEMENT Total")</f>
        <v>DEPARTMENT OF BUDGET &amp; MANAGEMENT Total</v>
      </c>
      <c r="AM61" s="19"/>
      <c r="AN61" s="19">
        <f>IFERROR(__xludf.DUMMYFUNCTION("""COMPUTED_VALUE"""),1.0)</f>
        <v>1</v>
      </c>
      <c r="AP61" s="19" t="str">
        <f>IFERROR(__xludf.DUMMYFUNCTION("""COMPUTED_VALUE"""),"DEPARTMENT OF BUDGET &amp; MANAGEMENT Total")</f>
        <v>DEPARTMENT OF BUDGET &amp; MANAGEMENT Total</v>
      </c>
      <c r="AQ61" s="19"/>
      <c r="AR61" s="19">
        <f>IFERROR(__xludf.DUMMYFUNCTION("""COMPUTED_VALUE"""),1.0)</f>
        <v>1</v>
      </c>
    </row>
    <row r="62">
      <c r="A62" s="1" t="s">
        <v>165</v>
      </c>
      <c r="B62" s="38" t="s">
        <v>603</v>
      </c>
      <c r="C62" s="3" t="s">
        <v>166</v>
      </c>
      <c r="D62" s="39">
        <v>45308.0</v>
      </c>
      <c r="E62" s="2">
        <v>3382.85</v>
      </c>
      <c r="F62" s="2" t="s">
        <v>13</v>
      </c>
      <c r="K62" s="3" t="s">
        <v>166</v>
      </c>
      <c r="L62" s="19" t="s">
        <v>535</v>
      </c>
      <c r="M62" s="2">
        <v>3382.85</v>
      </c>
      <c r="AL62" s="19" t="str">
        <f>IFERROR(__xludf.DUMMYFUNCTION("""COMPUTED_VALUE"""),"DEPARTMENT OF SOCIAL WELFARE &amp; DEVT")</f>
        <v>DEPARTMENT OF SOCIAL WELFARE &amp; DEVT</v>
      </c>
      <c r="AM62" s="19" t="str">
        <f>IFERROR(__xludf.DUMMYFUNCTION("""COMPUTED_VALUE"""),"February")</f>
        <v>February</v>
      </c>
      <c r="AN62" s="19">
        <f>IFERROR(__xludf.DUMMYFUNCTION("""COMPUTED_VALUE"""),1.0)</f>
        <v>1</v>
      </c>
      <c r="AP62" s="19" t="str">
        <f>IFERROR(__xludf.DUMMYFUNCTION("""COMPUTED_VALUE"""),"DEPARTMENT OF SOCIAL WELFARE &amp; DEVT")</f>
        <v>DEPARTMENT OF SOCIAL WELFARE &amp; DEVT</v>
      </c>
      <c r="AQ62" s="19" t="str">
        <f>IFERROR(__xludf.DUMMYFUNCTION("""COMPUTED_VALUE"""),"February")</f>
        <v>February</v>
      </c>
      <c r="AR62" s="19">
        <f>IFERROR(__xludf.DUMMYFUNCTION("""COMPUTED_VALUE"""),1.0)</f>
        <v>1</v>
      </c>
    </row>
    <row r="63">
      <c r="A63" s="1" t="s">
        <v>168</v>
      </c>
      <c r="B63" s="38" t="s">
        <v>605</v>
      </c>
      <c r="C63" s="3" t="s">
        <v>169</v>
      </c>
      <c r="D63" s="39">
        <v>45308.0</v>
      </c>
      <c r="E63" s="2">
        <v>4384.5</v>
      </c>
      <c r="F63" s="2" t="s">
        <v>13</v>
      </c>
      <c r="K63" s="3" t="s">
        <v>169</v>
      </c>
      <c r="L63" s="19" t="s">
        <v>535</v>
      </c>
      <c r="M63" s="2">
        <v>4384.5</v>
      </c>
      <c r="AL63" s="19" t="str">
        <f>IFERROR(__xludf.DUMMYFUNCTION("""COMPUTED_VALUE"""),"DEPARTMENT OF SOCIAL WELFARE &amp; DEVT Total")</f>
        <v>DEPARTMENT OF SOCIAL WELFARE &amp; DEVT Total</v>
      </c>
      <c r="AM63" s="19"/>
      <c r="AN63" s="19">
        <f>IFERROR(__xludf.DUMMYFUNCTION("""COMPUTED_VALUE"""),1.0)</f>
        <v>1</v>
      </c>
      <c r="AP63" s="19" t="str">
        <f>IFERROR(__xludf.DUMMYFUNCTION("""COMPUTED_VALUE"""),"DEPARTMENT OF SOCIAL WELFARE &amp; DEVT Total")</f>
        <v>DEPARTMENT OF SOCIAL WELFARE &amp; DEVT Total</v>
      </c>
      <c r="AQ63" s="19"/>
      <c r="AR63" s="19">
        <f>IFERROR(__xludf.DUMMYFUNCTION("""COMPUTED_VALUE"""),1.0)</f>
        <v>1</v>
      </c>
    </row>
    <row r="64">
      <c r="A64" s="1" t="s">
        <v>171</v>
      </c>
      <c r="B64" s="38" t="s">
        <v>606</v>
      </c>
      <c r="C64" s="3" t="s">
        <v>172</v>
      </c>
      <c r="D64" s="39">
        <v>45308.0</v>
      </c>
      <c r="E64" s="2">
        <v>5596.0</v>
      </c>
      <c r="F64" s="2" t="s">
        <v>13</v>
      </c>
      <c r="K64" s="3" t="s">
        <v>172</v>
      </c>
      <c r="L64" s="19" t="s">
        <v>535</v>
      </c>
      <c r="M64" s="2">
        <v>5596.0</v>
      </c>
      <c r="AL64" s="19" t="str">
        <f>IFERROR(__xludf.DUMMYFUNCTION("""COMPUTED_VALUE"""),"DEPARTMENT OF TOURISM")</f>
        <v>DEPARTMENT OF TOURISM</v>
      </c>
      <c r="AM64" s="19" t="str">
        <f>IFERROR(__xludf.DUMMYFUNCTION("""COMPUTED_VALUE"""),"January")</f>
        <v>January</v>
      </c>
      <c r="AN64" s="19">
        <f>IFERROR(__xludf.DUMMYFUNCTION("""COMPUTED_VALUE"""),1.0)</f>
        <v>1</v>
      </c>
      <c r="AP64" s="19" t="str">
        <f>IFERROR(__xludf.DUMMYFUNCTION("""COMPUTED_VALUE"""),"DEPARTMENT OF TOURISM")</f>
        <v>DEPARTMENT OF TOURISM</v>
      </c>
      <c r="AQ64" s="19" t="str">
        <f>IFERROR(__xludf.DUMMYFUNCTION("""COMPUTED_VALUE"""),"January")</f>
        <v>January</v>
      </c>
      <c r="AR64" s="19">
        <f>IFERROR(__xludf.DUMMYFUNCTION("""COMPUTED_VALUE"""),1.0)</f>
        <v>1</v>
      </c>
    </row>
    <row r="65">
      <c r="A65" s="1" t="s">
        <v>174</v>
      </c>
      <c r="B65" s="38" t="s">
        <v>608</v>
      </c>
      <c r="C65" s="3" t="s">
        <v>175</v>
      </c>
      <c r="D65" s="39">
        <v>45309.0</v>
      </c>
      <c r="E65" s="2">
        <v>3488.5</v>
      </c>
      <c r="F65" s="2" t="s">
        <v>13</v>
      </c>
      <c r="K65" s="3" t="s">
        <v>175</v>
      </c>
      <c r="L65" s="19" t="s">
        <v>535</v>
      </c>
      <c r="M65" s="2">
        <v>3488.5</v>
      </c>
      <c r="AL65" s="19" t="str">
        <f>IFERROR(__xludf.DUMMYFUNCTION("""COMPUTED_VALUE"""),"DEPARTMENT OF TOURISM Total")</f>
        <v>DEPARTMENT OF TOURISM Total</v>
      </c>
      <c r="AM65" s="19"/>
      <c r="AN65" s="19">
        <f>IFERROR(__xludf.DUMMYFUNCTION("""COMPUTED_VALUE"""),1.0)</f>
        <v>1</v>
      </c>
      <c r="AP65" s="19" t="str">
        <f>IFERROR(__xludf.DUMMYFUNCTION("""COMPUTED_VALUE"""),"DEPARTMENT OF TOURISM Total")</f>
        <v>DEPARTMENT OF TOURISM Total</v>
      </c>
      <c r="AQ65" s="19"/>
      <c r="AR65" s="19">
        <f>IFERROR(__xludf.DUMMYFUNCTION("""COMPUTED_VALUE"""),1.0)</f>
        <v>1</v>
      </c>
    </row>
    <row r="66">
      <c r="A66" s="1" t="s">
        <v>177</v>
      </c>
      <c r="B66" s="38" t="s">
        <v>609</v>
      </c>
      <c r="C66" s="3" t="s">
        <v>178</v>
      </c>
      <c r="D66" s="39">
        <v>45309.0</v>
      </c>
      <c r="E66" s="2">
        <v>5588.5</v>
      </c>
      <c r="F66" s="2" t="s">
        <v>13</v>
      </c>
      <c r="K66" s="3" t="s">
        <v>178</v>
      </c>
      <c r="L66" s="19" t="s">
        <v>535</v>
      </c>
      <c r="M66" s="2">
        <v>5588.5</v>
      </c>
      <c r="AL66" s="19" t="str">
        <f>IFERROR(__xludf.DUMMYFUNCTION("""COMPUTED_VALUE"""),"DEPT. OF HUMAN SETTLEMENTS &amp; URBAN DEV'T")</f>
        <v>DEPT. OF HUMAN SETTLEMENTS &amp; URBAN DEV'T</v>
      </c>
      <c r="AM66" s="19" t="str">
        <f>IFERROR(__xludf.DUMMYFUNCTION("""COMPUTED_VALUE"""),"January")</f>
        <v>January</v>
      </c>
      <c r="AN66" s="19">
        <f>IFERROR(__xludf.DUMMYFUNCTION("""COMPUTED_VALUE"""),4.0)</f>
        <v>4</v>
      </c>
      <c r="AP66" s="19" t="str">
        <f>IFERROR(__xludf.DUMMYFUNCTION("""COMPUTED_VALUE"""),"DEPT. OF HUMAN SETTLEMENTS &amp; URBAN DEV'T")</f>
        <v>DEPT. OF HUMAN SETTLEMENTS &amp; URBAN DEV'T</v>
      </c>
      <c r="AQ66" s="19" t="str">
        <f>IFERROR(__xludf.DUMMYFUNCTION("""COMPUTED_VALUE"""),"January")</f>
        <v>January</v>
      </c>
      <c r="AR66" s="19">
        <f>IFERROR(__xludf.DUMMYFUNCTION("""COMPUTED_VALUE"""),4.0)</f>
        <v>4</v>
      </c>
    </row>
    <row r="67">
      <c r="A67" s="1" t="s">
        <v>180</v>
      </c>
      <c r="B67" s="38" t="s">
        <v>611</v>
      </c>
      <c r="C67" s="3" t="s">
        <v>181</v>
      </c>
      <c r="D67" s="39">
        <v>45309.0</v>
      </c>
      <c r="E67" s="2">
        <v>28093.6</v>
      </c>
      <c r="F67" s="2" t="s">
        <v>13</v>
      </c>
      <c r="K67" s="3" t="s">
        <v>181</v>
      </c>
      <c r="L67" s="19" t="s">
        <v>535</v>
      </c>
      <c r="M67" s="2">
        <v>28093.6</v>
      </c>
      <c r="AL67" s="19" t="str">
        <f>IFERROR(__xludf.DUMMYFUNCTION("""COMPUTED_VALUE"""),"DEPT. OF HUMAN SETTLEMENTS &amp; URBAN DEV'T Total")</f>
        <v>DEPT. OF HUMAN SETTLEMENTS &amp; URBAN DEV'T Total</v>
      </c>
      <c r="AM67" s="19"/>
      <c r="AN67" s="19">
        <f>IFERROR(__xludf.DUMMYFUNCTION("""COMPUTED_VALUE"""),4.0)</f>
        <v>4</v>
      </c>
      <c r="AP67" s="19" t="str">
        <f>IFERROR(__xludf.DUMMYFUNCTION("""COMPUTED_VALUE"""),"DEPT. OF HUMAN SETTLEMENTS &amp; URBAN DEV'T Total")</f>
        <v>DEPT. OF HUMAN SETTLEMENTS &amp; URBAN DEV'T Total</v>
      </c>
      <c r="AQ67" s="19"/>
      <c r="AR67" s="19">
        <f>IFERROR(__xludf.DUMMYFUNCTION("""COMPUTED_VALUE"""),4.0)</f>
        <v>4</v>
      </c>
    </row>
    <row r="68">
      <c r="A68" s="1" t="s">
        <v>183</v>
      </c>
      <c r="B68" s="38" t="s">
        <v>612</v>
      </c>
      <c r="C68" s="3" t="s">
        <v>184</v>
      </c>
      <c r="D68" s="39">
        <v>45310.0</v>
      </c>
      <c r="E68" s="2">
        <v>1762.0</v>
      </c>
      <c r="F68" s="2" t="s">
        <v>13</v>
      </c>
      <c r="K68" s="3" t="s">
        <v>184</v>
      </c>
      <c r="L68" s="19" t="s">
        <v>535</v>
      </c>
      <c r="M68" s="2">
        <v>1762.0</v>
      </c>
      <c r="AL68" s="19" t="str">
        <f>IFERROR(__xludf.DUMMYFUNCTION("""COMPUTED_VALUE"""),"DEPT. OF TRADE &amp; INDUSTRY- RO-11")</f>
        <v>DEPT. OF TRADE &amp; INDUSTRY- RO-11</v>
      </c>
      <c r="AM68" s="19" t="str">
        <f>IFERROR(__xludf.DUMMYFUNCTION("""COMPUTED_VALUE"""),"January")</f>
        <v>January</v>
      </c>
      <c r="AN68" s="19">
        <f>IFERROR(__xludf.DUMMYFUNCTION("""COMPUTED_VALUE"""),1.0)</f>
        <v>1</v>
      </c>
      <c r="AP68" s="19" t="str">
        <f>IFERROR(__xludf.DUMMYFUNCTION("""COMPUTED_VALUE"""),"DEPT. OF TRADE &amp; INDUSTRY- RO-11")</f>
        <v>DEPT. OF TRADE &amp; INDUSTRY- RO-11</v>
      </c>
      <c r="AQ68" s="19" t="str">
        <f>IFERROR(__xludf.DUMMYFUNCTION("""COMPUTED_VALUE"""),"January")</f>
        <v>January</v>
      </c>
      <c r="AR68" s="19">
        <f>IFERROR(__xludf.DUMMYFUNCTION("""COMPUTED_VALUE"""),1.0)</f>
        <v>1</v>
      </c>
    </row>
    <row r="69">
      <c r="A69" s="1" t="s">
        <v>186</v>
      </c>
      <c r="B69" s="38" t="s">
        <v>614</v>
      </c>
      <c r="C69" s="3" t="s">
        <v>187</v>
      </c>
      <c r="D69" s="39">
        <v>45310.0</v>
      </c>
      <c r="E69" s="2">
        <v>4819.0</v>
      </c>
      <c r="F69" s="2" t="s">
        <v>13</v>
      </c>
      <c r="K69" s="3" t="s">
        <v>187</v>
      </c>
      <c r="L69" s="19" t="s">
        <v>535</v>
      </c>
      <c r="M69" s="2">
        <v>4819.0</v>
      </c>
      <c r="AL69" s="19" t="str">
        <f>IFERROR(__xludf.DUMMYFUNCTION("""COMPUTED_VALUE"""),"DEPT. OF TRADE &amp; INDUSTRY- RO-11 Total")</f>
        <v>DEPT. OF TRADE &amp; INDUSTRY- RO-11 Total</v>
      </c>
      <c r="AM69" s="19"/>
      <c r="AN69" s="19">
        <f>IFERROR(__xludf.DUMMYFUNCTION("""COMPUTED_VALUE"""),1.0)</f>
        <v>1</v>
      </c>
      <c r="AP69" s="19" t="str">
        <f>IFERROR(__xludf.DUMMYFUNCTION("""COMPUTED_VALUE"""),"DEPT. OF TRADE &amp; INDUSTRY- RO-11 Total")</f>
        <v>DEPT. OF TRADE &amp; INDUSTRY- RO-11 Total</v>
      </c>
      <c r="AQ69" s="19"/>
      <c r="AR69" s="19">
        <f>IFERROR(__xludf.DUMMYFUNCTION("""COMPUTED_VALUE"""),1.0)</f>
        <v>1</v>
      </c>
    </row>
    <row r="70">
      <c r="A70" s="1" t="s">
        <v>189</v>
      </c>
      <c r="B70" s="38" t="s">
        <v>615</v>
      </c>
      <c r="C70" s="3" t="s">
        <v>190</v>
      </c>
      <c r="D70" s="39">
        <v>45313.0</v>
      </c>
      <c r="E70" s="2">
        <v>779.25</v>
      </c>
      <c r="F70" s="2" t="s">
        <v>13</v>
      </c>
      <c r="K70" s="3" t="s">
        <v>190</v>
      </c>
      <c r="L70" s="19" t="s">
        <v>535</v>
      </c>
      <c r="M70" s="2">
        <v>779.25</v>
      </c>
      <c r="AL70" s="19" t="str">
        <f>IFERROR(__xludf.DUMMYFUNCTION("""COMPUTED_VALUE"""),"DIGOS WATER DISTRICT")</f>
        <v>DIGOS WATER DISTRICT</v>
      </c>
      <c r="AM70" s="19" t="str">
        <f>IFERROR(__xludf.DUMMYFUNCTION("""COMPUTED_VALUE"""),"February")</f>
        <v>February</v>
      </c>
      <c r="AN70" s="19">
        <f>IFERROR(__xludf.DUMMYFUNCTION("""COMPUTED_VALUE"""),1.0)</f>
        <v>1</v>
      </c>
      <c r="AP70" s="19" t="str">
        <f>IFERROR(__xludf.DUMMYFUNCTION("""COMPUTED_VALUE"""),"DIGOS WATER DISTRICT")</f>
        <v>DIGOS WATER DISTRICT</v>
      </c>
      <c r="AQ70" s="19" t="str">
        <f>IFERROR(__xludf.DUMMYFUNCTION("""COMPUTED_VALUE"""),"February")</f>
        <v>February</v>
      </c>
      <c r="AR70" s="19">
        <f>IFERROR(__xludf.DUMMYFUNCTION("""COMPUTED_VALUE"""),1.0)</f>
        <v>1</v>
      </c>
    </row>
    <row r="71">
      <c r="A71" s="1" t="s">
        <v>192</v>
      </c>
      <c r="B71" s="38" t="s">
        <v>616</v>
      </c>
      <c r="C71" s="3" t="s">
        <v>193</v>
      </c>
      <c r="D71" s="39">
        <v>45313.0</v>
      </c>
      <c r="E71" s="2">
        <v>1710.3</v>
      </c>
      <c r="F71" s="2" t="s">
        <v>13</v>
      </c>
      <c r="K71" s="3" t="s">
        <v>193</v>
      </c>
      <c r="L71" s="19" t="s">
        <v>535</v>
      </c>
      <c r="M71" s="2">
        <v>1710.3</v>
      </c>
      <c r="AL71" s="19"/>
      <c r="AM71" s="19" t="str">
        <f>IFERROR(__xludf.DUMMYFUNCTION("""COMPUTED_VALUE"""),"January")</f>
        <v>January</v>
      </c>
      <c r="AN71" s="19">
        <f>IFERROR(__xludf.DUMMYFUNCTION("""COMPUTED_VALUE"""),1.0)</f>
        <v>1</v>
      </c>
      <c r="AP71" s="19"/>
      <c r="AQ71" s="19" t="str">
        <f>IFERROR(__xludf.DUMMYFUNCTION("""COMPUTED_VALUE"""),"January")</f>
        <v>January</v>
      </c>
      <c r="AR71" s="19">
        <f>IFERROR(__xludf.DUMMYFUNCTION("""COMPUTED_VALUE"""),1.0)</f>
        <v>1</v>
      </c>
    </row>
    <row r="72">
      <c r="A72" s="1" t="s">
        <v>195</v>
      </c>
      <c r="B72" s="38" t="s">
        <v>605</v>
      </c>
      <c r="C72" s="3" t="s">
        <v>169</v>
      </c>
      <c r="D72" s="39">
        <v>45313.0</v>
      </c>
      <c r="E72" s="2">
        <v>2200.0</v>
      </c>
      <c r="F72" s="2" t="s">
        <v>13</v>
      </c>
      <c r="K72" s="3" t="s">
        <v>169</v>
      </c>
      <c r="L72" s="19" t="s">
        <v>535</v>
      </c>
      <c r="M72" s="2">
        <v>2200.0</v>
      </c>
      <c r="AL72" s="19" t="str">
        <f>IFERROR(__xludf.DUMMYFUNCTION("""COMPUTED_VALUE"""),"DIGOS WATER DISTRICT Total")</f>
        <v>DIGOS WATER DISTRICT Total</v>
      </c>
      <c r="AM72" s="19"/>
      <c r="AN72" s="19">
        <f>IFERROR(__xludf.DUMMYFUNCTION("""COMPUTED_VALUE"""),2.0)</f>
        <v>2</v>
      </c>
      <c r="AP72" s="19" t="str">
        <f>IFERROR(__xludf.DUMMYFUNCTION("""COMPUTED_VALUE"""),"DIGOS WATER DISTRICT Total")</f>
        <v>DIGOS WATER DISTRICT Total</v>
      </c>
      <c r="AQ72" s="19"/>
      <c r="AR72" s="19">
        <f>IFERROR(__xludf.DUMMYFUNCTION("""COMPUTED_VALUE"""),2.0)</f>
        <v>2</v>
      </c>
    </row>
    <row r="73">
      <c r="A73" s="1" t="s">
        <v>197</v>
      </c>
      <c r="B73" s="38" t="s">
        <v>606</v>
      </c>
      <c r="C73" s="3" t="s">
        <v>172</v>
      </c>
      <c r="D73" s="39">
        <v>45313.0</v>
      </c>
      <c r="E73" s="2">
        <v>3251.0</v>
      </c>
      <c r="F73" s="2" t="s">
        <v>13</v>
      </c>
      <c r="K73" s="3" t="s">
        <v>172</v>
      </c>
      <c r="L73" s="19" t="s">
        <v>535</v>
      </c>
      <c r="M73" s="2">
        <v>3251.0</v>
      </c>
      <c r="AL73" s="19" t="str">
        <f>IFERROR(__xludf.DUMMYFUNCTION("""COMPUTED_VALUE"""),"EAST WEST BANK")</f>
        <v>EAST WEST BANK</v>
      </c>
      <c r="AM73" s="19" t="str">
        <f>IFERROR(__xludf.DUMMYFUNCTION("""COMPUTED_VALUE"""),"January")</f>
        <v>January</v>
      </c>
      <c r="AN73" s="19">
        <f>IFERROR(__xludf.DUMMYFUNCTION("""COMPUTED_VALUE"""),1.0)</f>
        <v>1</v>
      </c>
      <c r="AP73" s="19" t="str">
        <f>IFERROR(__xludf.DUMMYFUNCTION("""COMPUTED_VALUE"""),"EAST WEST BANK")</f>
        <v>EAST WEST BANK</v>
      </c>
      <c r="AQ73" s="19" t="str">
        <f>IFERROR(__xludf.DUMMYFUNCTION("""COMPUTED_VALUE"""),"January")</f>
        <v>January</v>
      </c>
      <c r="AR73" s="19">
        <f>IFERROR(__xludf.DUMMYFUNCTION("""COMPUTED_VALUE"""),1.0)</f>
        <v>1</v>
      </c>
    </row>
    <row r="74">
      <c r="A74" s="1" t="s">
        <v>199</v>
      </c>
      <c r="B74" s="38" t="s">
        <v>619</v>
      </c>
      <c r="C74" s="3" t="s">
        <v>200</v>
      </c>
      <c r="D74" s="39">
        <v>45313.0</v>
      </c>
      <c r="E74" s="2">
        <v>10168.0</v>
      </c>
      <c r="F74" s="2" t="s">
        <v>13</v>
      </c>
      <c r="K74" s="3" t="s">
        <v>200</v>
      </c>
      <c r="L74" s="19" t="s">
        <v>535</v>
      </c>
      <c r="M74" s="2">
        <v>10168.0</v>
      </c>
      <c r="AL74" s="19" t="str">
        <f>IFERROR(__xludf.DUMMYFUNCTION("""COMPUTED_VALUE"""),"EAST WEST BANK Total")</f>
        <v>EAST WEST BANK Total</v>
      </c>
      <c r="AM74" s="19"/>
      <c r="AN74" s="19">
        <f>IFERROR(__xludf.DUMMYFUNCTION("""COMPUTED_VALUE"""),1.0)</f>
        <v>1</v>
      </c>
      <c r="AP74" s="19" t="str">
        <f>IFERROR(__xludf.DUMMYFUNCTION("""COMPUTED_VALUE"""),"EAST WEST BANK Total")</f>
        <v>EAST WEST BANK Total</v>
      </c>
      <c r="AQ74" s="19"/>
      <c r="AR74" s="19">
        <f>IFERROR(__xludf.DUMMYFUNCTION("""COMPUTED_VALUE"""),1.0)</f>
        <v>1</v>
      </c>
    </row>
    <row r="75">
      <c r="A75" s="1" t="s">
        <v>202</v>
      </c>
      <c r="B75" s="38" t="s">
        <v>619</v>
      </c>
      <c r="C75" s="3" t="s">
        <v>200</v>
      </c>
      <c r="D75" s="39">
        <v>45313.0</v>
      </c>
      <c r="E75" s="2">
        <v>10316.4</v>
      </c>
      <c r="F75" s="2" t="s">
        <v>13</v>
      </c>
      <c r="K75" s="3" t="s">
        <v>200</v>
      </c>
      <c r="L75" s="19" t="s">
        <v>535</v>
      </c>
      <c r="M75" s="2">
        <v>10316.4</v>
      </c>
      <c r="AL75" s="19" t="str">
        <f>IFERROR(__xludf.DUMMYFUNCTION("""COMPUTED_VALUE"""),"EAST WEST BANK - BAJADA  2FLR.")</f>
        <v>EAST WEST BANK - BAJADA  2FLR.</v>
      </c>
      <c r="AM75" s="19" t="str">
        <f>IFERROR(__xludf.DUMMYFUNCTION("""COMPUTED_VALUE"""),"January")</f>
        <v>January</v>
      </c>
      <c r="AN75" s="19">
        <f>IFERROR(__xludf.DUMMYFUNCTION("""COMPUTED_VALUE"""),2.0)</f>
        <v>2</v>
      </c>
      <c r="AP75" s="19" t="str">
        <f>IFERROR(__xludf.DUMMYFUNCTION("""COMPUTED_VALUE"""),"EAST WEST BANK - BAJADA  2FLR.")</f>
        <v>EAST WEST BANK - BAJADA  2FLR.</v>
      </c>
      <c r="AQ75" s="19" t="str">
        <f>IFERROR(__xludf.DUMMYFUNCTION("""COMPUTED_VALUE"""),"January")</f>
        <v>January</v>
      </c>
      <c r="AR75" s="19">
        <f>IFERROR(__xludf.DUMMYFUNCTION("""COMPUTED_VALUE"""),2.0)</f>
        <v>2</v>
      </c>
    </row>
    <row r="76">
      <c r="A76" s="1" t="s">
        <v>204</v>
      </c>
      <c r="B76" s="38" t="s">
        <v>621</v>
      </c>
      <c r="C76" s="3" t="s">
        <v>205</v>
      </c>
      <c r="D76" s="39">
        <v>45313.0</v>
      </c>
      <c r="E76" s="2">
        <v>21920.0</v>
      </c>
      <c r="F76" s="2" t="s">
        <v>13</v>
      </c>
      <c r="K76" s="3" t="s">
        <v>205</v>
      </c>
      <c r="L76" s="19" t="s">
        <v>535</v>
      </c>
      <c r="M76" s="2">
        <v>21920.0</v>
      </c>
      <c r="AL76" s="19" t="str">
        <f>IFERROR(__xludf.DUMMYFUNCTION("""COMPUTED_VALUE"""),"EAST WEST BANK - BAJADA  2FLR. Total")</f>
        <v>EAST WEST BANK - BAJADA  2FLR. Total</v>
      </c>
      <c r="AM76" s="19"/>
      <c r="AN76" s="19">
        <f>IFERROR(__xludf.DUMMYFUNCTION("""COMPUTED_VALUE"""),2.0)</f>
        <v>2</v>
      </c>
      <c r="AP76" s="19" t="str">
        <f>IFERROR(__xludf.DUMMYFUNCTION("""COMPUTED_VALUE"""),"EAST WEST BANK - BAJADA  2FLR. Total")</f>
        <v>EAST WEST BANK - BAJADA  2FLR. Total</v>
      </c>
      <c r="AQ76" s="19"/>
      <c r="AR76" s="19">
        <f>IFERROR(__xludf.DUMMYFUNCTION("""COMPUTED_VALUE"""),2.0)</f>
        <v>2</v>
      </c>
    </row>
    <row r="77">
      <c r="A77" s="1" t="s">
        <v>207</v>
      </c>
      <c r="B77" s="38" t="s">
        <v>622</v>
      </c>
      <c r="C77" s="3" t="s">
        <v>208</v>
      </c>
      <c r="D77" s="39">
        <v>45313.0</v>
      </c>
      <c r="E77" s="2">
        <v>27978.0</v>
      </c>
      <c r="F77" s="2" t="s">
        <v>9</v>
      </c>
      <c r="K77" s="3" t="s">
        <v>208</v>
      </c>
      <c r="L77" s="19" t="s">
        <v>535</v>
      </c>
      <c r="M77" s="2">
        <v>27978.0</v>
      </c>
      <c r="AL77" s="19" t="str">
        <f>IFERROR(__xludf.DUMMYFUNCTION("""COMPUTED_VALUE"""),"EAST WEST BANK - DAVAO AGDAO BRANCH")</f>
        <v>EAST WEST BANK - DAVAO AGDAO BRANCH</v>
      </c>
      <c r="AM77" s="19" t="str">
        <f>IFERROR(__xludf.DUMMYFUNCTION("""COMPUTED_VALUE"""),"January")</f>
        <v>January</v>
      </c>
      <c r="AN77" s="19">
        <f>IFERROR(__xludf.DUMMYFUNCTION("""COMPUTED_VALUE"""),1.0)</f>
        <v>1</v>
      </c>
      <c r="AP77" s="19" t="str">
        <f>IFERROR(__xludf.DUMMYFUNCTION("""COMPUTED_VALUE"""),"EAST WEST BANK - DAVAO AGDAO BRANCH")</f>
        <v>EAST WEST BANK - DAVAO AGDAO BRANCH</v>
      </c>
      <c r="AQ77" s="19" t="str">
        <f>IFERROR(__xludf.DUMMYFUNCTION("""COMPUTED_VALUE"""),"January")</f>
        <v>January</v>
      </c>
      <c r="AR77" s="19">
        <f>IFERROR(__xludf.DUMMYFUNCTION("""COMPUTED_VALUE"""),1.0)</f>
        <v>1</v>
      </c>
    </row>
    <row r="78">
      <c r="A78" s="1" t="s">
        <v>210</v>
      </c>
      <c r="B78" s="38" t="s">
        <v>537</v>
      </c>
      <c r="C78" s="3" t="s">
        <v>15</v>
      </c>
      <c r="D78" s="39">
        <v>45314.0</v>
      </c>
      <c r="E78" s="2">
        <v>240.0</v>
      </c>
      <c r="F78" s="2" t="s">
        <v>13</v>
      </c>
      <c r="K78" s="3" t="s">
        <v>15</v>
      </c>
      <c r="L78" s="19" t="s">
        <v>535</v>
      </c>
      <c r="M78" s="2">
        <v>240.0</v>
      </c>
      <c r="AL78" s="19" t="str">
        <f>IFERROR(__xludf.DUMMYFUNCTION("""COMPUTED_VALUE"""),"EAST WEST BANK - DAVAO AGDAO BRANCH Total")</f>
        <v>EAST WEST BANK - DAVAO AGDAO BRANCH Total</v>
      </c>
      <c r="AM78" s="19"/>
      <c r="AN78" s="19">
        <f>IFERROR(__xludf.DUMMYFUNCTION("""COMPUTED_VALUE"""),1.0)</f>
        <v>1</v>
      </c>
      <c r="AP78" s="19" t="str">
        <f>IFERROR(__xludf.DUMMYFUNCTION("""COMPUTED_VALUE"""),"EAST WEST BANK - DAVAO AGDAO BRANCH Total")</f>
        <v>EAST WEST BANK - DAVAO AGDAO BRANCH Total</v>
      </c>
      <c r="AQ78" s="19"/>
      <c r="AR78" s="19">
        <f>IFERROR(__xludf.DUMMYFUNCTION("""COMPUTED_VALUE"""),1.0)</f>
        <v>1</v>
      </c>
    </row>
    <row r="79">
      <c r="A79" s="1" t="s">
        <v>212</v>
      </c>
      <c r="B79" s="38" t="s">
        <v>624</v>
      </c>
      <c r="C79" s="3" t="s">
        <v>213</v>
      </c>
      <c r="D79" s="39">
        <v>45314.0</v>
      </c>
      <c r="E79" s="2">
        <v>799.0</v>
      </c>
      <c r="F79" s="2" t="s">
        <v>139</v>
      </c>
      <c r="K79" s="3" t="s">
        <v>213</v>
      </c>
      <c r="L79" s="19" t="s">
        <v>535</v>
      </c>
      <c r="M79" s="2">
        <v>799.0</v>
      </c>
      <c r="AL79" s="19" t="str">
        <f>IFERROR(__xludf.DUMMYFUNCTION("""COMPUTED_VALUE"""),"EC GONZAGA ENTERPRISES")</f>
        <v>EC GONZAGA ENTERPRISES</v>
      </c>
      <c r="AM79" s="19" t="str">
        <f>IFERROR(__xludf.DUMMYFUNCTION("""COMPUTED_VALUE"""),"February")</f>
        <v>February</v>
      </c>
      <c r="AN79" s="19">
        <f>IFERROR(__xludf.DUMMYFUNCTION("""COMPUTED_VALUE"""),4.0)</f>
        <v>4</v>
      </c>
      <c r="AP79" s="19" t="str">
        <f>IFERROR(__xludf.DUMMYFUNCTION("""COMPUTED_VALUE"""),"EC GONZAGA ENTERPRISES")</f>
        <v>EC GONZAGA ENTERPRISES</v>
      </c>
      <c r="AQ79" s="19" t="str">
        <f>IFERROR(__xludf.DUMMYFUNCTION("""COMPUTED_VALUE"""),"February")</f>
        <v>February</v>
      </c>
      <c r="AR79" s="19">
        <f>IFERROR(__xludf.DUMMYFUNCTION("""COMPUTED_VALUE"""),4.0)</f>
        <v>4</v>
      </c>
    </row>
    <row r="80">
      <c r="A80" s="1" t="s">
        <v>215</v>
      </c>
      <c r="B80" s="38" t="s">
        <v>625</v>
      </c>
      <c r="C80" s="3" t="s">
        <v>216</v>
      </c>
      <c r="D80" s="39">
        <v>45314.0</v>
      </c>
      <c r="E80" s="2">
        <v>1316.0</v>
      </c>
      <c r="F80" s="2" t="s">
        <v>9</v>
      </c>
      <c r="K80" s="3" t="s">
        <v>216</v>
      </c>
      <c r="L80" s="19" t="s">
        <v>535</v>
      </c>
      <c r="M80" s="2">
        <v>1316.0</v>
      </c>
      <c r="AL80" s="19"/>
      <c r="AM80" s="19" t="str">
        <f>IFERROR(__xludf.DUMMYFUNCTION("""COMPUTED_VALUE"""),"January")</f>
        <v>January</v>
      </c>
      <c r="AN80" s="19">
        <f>IFERROR(__xludf.DUMMYFUNCTION("""COMPUTED_VALUE"""),2.0)</f>
        <v>2</v>
      </c>
      <c r="AP80" s="19"/>
      <c r="AQ80" s="19" t="str">
        <f>IFERROR(__xludf.DUMMYFUNCTION("""COMPUTED_VALUE"""),"January")</f>
        <v>January</v>
      </c>
      <c r="AR80" s="19">
        <f>IFERROR(__xludf.DUMMYFUNCTION("""COMPUTED_VALUE"""),2.0)</f>
        <v>2</v>
      </c>
    </row>
    <row r="81">
      <c r="A81" s="1" t="s">
        <v>218</v>
      </c>
      <c r="B81" s="38" t="s">
        <v>537</v>
      </c>
      <c r="C81" s="3" t="s">
        <v>15</v>
      </c>
      <c r="D81" s="39">
        <v>45314.0</v>
      </c>
      <c r="E81" s="2">
        <v>2122.0</v>
      </c>
      <c r="F81" s="2" t="s">
        <v>13</v>
      </c>
      <c r="K81" s="3" t="s">
        <v>15</v>
      </c>
      <c r="L81" s="19" t="s">
        <v>535</v>
      </c>
      <c r="M81" s="2">
        <v>2122.0</v>
      </c>
      <c r="AL81" s="19" t="str">
        <f>IFERROR(__xludf.DUMMYFUNCTION("""COMPUTED_VALUE"""),"EC GONZAGA ENTERPRISES Total")</f>
        <v>EC GONZAGA ENTERPRISES Total</v>
      </c>
      <c r="AM81" s="19"/>
      <c r="AN81" s="19">
        <f>IFERROR(__xludf.DUMMYFUNCTION("""COMPUTED_VALUE"""),6.0)</f>
        <v>6</v>
      </c>
      <c r="AP81" s="19" t="str">
        <f>IFERROR(__xludf.DUMMYFUNCTION("""COMPUTED_VALUE"""),"EC GONZAGA ENTERPRISES Total")</f>
        <v>EC GONZAGA ENTERPRISES Total</v>
      </c>
      <c r="AQ81" s="19"/>
      <c r="AR81" s="19">
        <f>IFERROR(__xludf.DUMMYFUNCTION("""COMPUTED_VALUE"""),6.0)</f>
        <v>6</v>
      </c>
    </row>
    <row r="82">
      <c r="A82" s="1" t="s">
        <v>220</v>
      </c>
      <c r="B82" s="38" t="s">
        <v>627</v>
      </c>
      <c r="C82" s="3" t="s">
        <v>221</v>
      </c>
      <c r="D82" s="39">
        <v>45314.0</v>
      </c>
      <c r="E82" s="2">
        <v>2485.85</v>
      </c>
      <c r="F82" s="2" t="s">
        <v>13</v>
      </c>
      <c r="K82" s="3" t="s">
        <v>221</v>
      </c>
      <c r="L82" s="19" t="s">
        <v>535</v>
      </c>
      <c r="M82" s="2">
        <v>2485.85</v>
      </c>
      <c r="AL82" s="19" t="str">
        <f>IFERROR(__xludf.DUMMYFUNCTION("""COMPUTED_VALUE"""),"EHB ENTERPRISES &amp; PRINTHAUS")</f>
        <v>EHB ENTERPRISES &amp; PRINTHAUS</v>
      </c>
      <c r="AM82" s="19" t="str">
        <f>IFERROR(__xludf.DUMMYFUNCTION("""COMPUTED_VALUE"""),"January")</f>
        <v>January</v>
      </c>
      <c r="AN82" s="19">
        <f>IFERROR(__xludf.DUMMYFUNCTION("""COMPUTED_VALUE"""),1.0)</f>
        <v>1</v>
      </c>
      <c r="AP82" s="19" t="str">
        <f>IFERROR(__xludf.DUMMYFUNCTION("""COMPUTED_VALUE"""),"EHB ENTERPRISES &amp; PRINTHAUS")</f>
        <v>EHB ENTERPRISES &amp; PRINTHAUS</v>
      </c>
      <c r="AQ82" s="19" t="str">
        <f>IFERROR(__xludf.DUMMYFUNCTION("""COMPUTED_VALUE"""),"January")</f>
        <v>January</v>
      </c>
      <c r="AR82" s="19">
        <f>IFERROR(__xludf.DUMMYFUNCTION("""COMPUTED_VALUE"""),1.0)</f>
        <v>1</v>
      </c>
    </row>
    <row r="83">
      <c r="A83" s="1" t="s">
        <v>223</v>
      </c>
      <c r="B83" s="38" t="s">
        <v>629</v>
      </c>
      <c r="C83" s="3" t="s">
        <v>224</v>
      </c>
      <c r="D83" s="39">
        <v>45314.0</v>
      </c>
      <c r="E83" s="2">
        <v>7782.5</v>
      </c>
      <c r="F83" s="2" t="s">
        <v>13</v>
      </c>
      <c r="K83" s="3" t="s">
        <v>224</v>
      </c>
      <c r="L83" s="19" t="s">
        <v>535</v>
      </c>
      <c r="M83" s="2">
        <v>7782.5</v>
      </c>
      <c r="AL83" s="19" t="str">
        <f>IFERROR(__xludf.DUMMYFUNCTION("""COMPUTED_VALUE"""),"EHB ENTERPRISES &amp; PRINTHAUS Total")</f>
        <v>EHB ENTERPRISES &amp; PRINTHAUS Total</v>
      </c>
      <c r="AM83" s="19"/>
      <c r="AN83" s="19">
        <f>IFERROR(__xludf.DUMMYFUNCTION("""COMPUTED_VALUE"""),1.0)</f>
        <v>1</v>
      </c>
      <c r="AP83" s="19" t="str">
        <f>IFERROR(__xludf.DUMMYFUNCTION("""COMPUTED_VALUE"""),"EHB ENTERPRISES &amp; PRINTHAUS Total")</f>
        <v>EHB ENTERPRISES &amp; PRINTHAUS Total</v>
      </c>
      <c r="AQ83" s="19"/>
      <c r="AR83" s="19">
        <f>IFERROR(__xludf.DUMMYFUNCTION("""COMPUTED_VALUE"""),1.0)</f>
        <v>1</v>
      </c>
    </row>
    <row r="84">
      <c r="A84" s="1" t="s">
        <v>226</v>
      </c>
      <c r="B84" s="38" t="s">
        <v>621</v>
      </c>
      <c r="C84" s="3" t="s">
        <v>205</v>
      </c>
      <c r="D84" s="39">
        <v>45314.0</v>
      </c>
      <c r="E84" s="2">
        <v>13562.7</v>
      </c>
      <c r="F84" s="2" t="s">
        <v>13</v>
      </c>
      <c r="K84" s="3" t="s">
        <v>205</v>
      </c>
      <c r="L84" s="19" t="s">
        <v>535</v>
      </c>
      <c r="M84" s="2">
        <v>13562.7</v>
      </c>
      <c r="AL84" s="19" t="str">
        <f>IFERROR(__xludf.DUMMYFUNCTION("""COMPUTED_VALUE"""),"EQUINOX SYNERGY OPC")</f>
        <v>EQUINOX SYNERGY OPC</v>
      </c>
      <c r="AM84" s="19" t="str">
        <f>IFERROR(__xludf.DUMMYFUNCTION("""COMPUTED_VALUE"""),"January")</f>
        <v>January</v>
      </c>
      <c r="AN84" s="19">
        <f>IFERROR(__xludf.DUMMYFUNCTION("""COMPUTED_VALUE"""),2.0)</f>
        <v>2</v>
      </c>
      <c r="AP84" s="19" t="str">
        <f>IFERROR(__xludf.DUMMYFUNCTION("""COMPUTED_VALUE"""),"EQUINOX SYNERGY OPC")</f>
        <v>EQUINOX SYNERGY OPC</v>
      </c>
      <c r="AQ84" s="19" t="str">
        <f>IFERROR(__xludf.DUMMYFUNCTION("""COMPUTED_VALUE"""),"January")</f>
        <v>January</v>
      </c>
      <c r="AR84" s="19">
        <f>IFERROR(__xludf.DUMMYFUNCTION("""COMPUTED_VALUE"""),2.0)</f>
        <v>2</v>
      </c>
    </row>
    <row r="85">
      <c r="A85" s="1" t="s">
        <v>228</v>
      </c>
      <c r="B85" s="38" t="s">
        <v>543</v>
      </c>
      <c r="C85" s="3" t="s">
        <v>29</v>
      </c>
      <c r="D85" s="39">
        <v>45314.0</v>
      </c>
      <c r="E85" s="2">
        <v>16200.0</v>
      </c>
      <c r="F85" s="2" t="s">
        <v>9</v>
      </c>
      <c r="K85" s="3" t="s">
        <v>29</v>
      </c>
      <c r="L85" s="19" t="s">
        <v>535</v>
      </c>
      <c r="M85" s="2">
        <v>16200.0</v>
      </c>
      <c r="AL85" s="19" t="str">
        <f>IFERROR(__xludf.DUMMYFUNCTION("""COMPUTED_VALUE"""),"EQUINOX SYNERGY OPC Total")</f>
        <v>EQUINOX SYNERGY OPC Total</v>
      </c>
      <c r="AM85" s="19"/>
      <c r="AN85" s="19">
        <f>IFERROR(__xludf.DUMMYFUNCTION("""COMPUTED_VALUE"""),2.0)</f>
        <v>2</v>
      </c>
      <c r="AP85" s="19" t="str">
        <f>IFERROR(__xludf.DUMMYFUNCTION("""COMPUTED_VALUE"""),"EQUINOX SYNERGY OPC Total")</f>
        <v>EQUINOX SYNERGY OPC Total</v>
      </c>
      <c r="AQ85" s="19"/>
      <c r="AR85" s="19">
        <f>IFERROR(__xludf.DUMMYFUNCTION("""COMPUTED_VALUE"""),2.0)</f>
        <v>2</v>
      </c>
    </row>
    <row r="86">
      <c r="A86" s="1" t="s">
        <v>230</v>
      </c>
      <c r="B86" s="38" t="s">
        <v>631</v>
      </c>
      <c r="C86" s="3" t="s">
        <v>231</v>
      </c>
      <c r="D86" s="39">
        <v>45314.0</v>
      </c>
      <c r="E86" s="2">
        <v>33650.0</v>
      </c>
      <c r="F86" s="2" t="s">
        <v>9</v>
      </c>
      <c r="K86" s="3" t="s">
        <v>231</v>
      </c>
      <c r="L86" s="19" t="s">
        <v>535</v>
      </c>
      <c r="M86" s="2">
        <v>33650.0</v>
      </c>
      <c r="AL86" s="19" t="str">
        <f>IFERROR(__xludf.DUMMYFUNCTION("""COMPUTED_VALUE"""),"EZGAB CORPORATION")</f>
        <v>EZGAB CORPORATION</v>
      </c>
      <c r="AM86" s="19" t="str">
        <f>IFERROR(__xludf.DUMMYFUNCTION("""COMPUTED_VALUE"""),"January")</f>
        <v>January</v>
      </c>
      <c r="AN86" s="19">
        <f>IFERROR(__xludf.DUMMYFUNCTION("""COMPUTED_VALUE"""),2.0)</f>
        <v>2</v>
      </c>
      <c r="AP86" s="19" t="str">
        <f>IFERROR(__xludf.DUMMYFUNCTION("""COMPUTED_VALUE"""),"EZGAB CORPORATION")</f>
        <v>EZGAB CORPORATION</v>
      </c>
      <c r="AQ86" s="19" t="str">
        <f>IFERROR(__xludf.DUMMYFUNCTION("""COMPUTED_VALUE"""),"January")</f>
        <v>January</v>
      </c>
      <c r="AR86" s="19">
        <f>IFERROR(__xludf.DUMMYFUNCTION("""COMPUTED_VALUE"""),2.0)</f>
        <v>2</v>
      </c>
    </row>
    <row r="87">
      <c r="A87" s="1" t="s">
        <v>233</v>
      </c>
      <c r="B87" s="38" t="s">
        <v>543</v>
      </c>
      <c r="C87" s="3" t="s">
        <v>29</v>
      </c>
      <c r="D87" s="39">
        <v>45314.0</v>
      </c>
      <c r="E87" s="2">
        <v>47250.0</v>
      </c>
      <c r="F87" s="2" t="s">
        <v>9</v>
      </c>
      <c r="K87" s="3" t="s">
        <v>29</v>
      </c>
      <c r="L87" s="19" t="s">
        <v>535</v>
      </c>
      <c r="M87" s="2">
        <v>47250.0</v>
      </c>
      <c r="AL87" s="19" t="str">
        <f>IFERROR(__xludf.DUMMYFUNCTION("""COMPUTED_VALUE"""),"EZGAB CORPORATION Total")</f>
        <v>EZGAB CORPORATION Total</v>
      </c>
      <c r="AM87" s="19"/>
      <c r="AN87" s="19">
        <f>IFERROR(__xludf.DUMMYFUNCTION("""COMPUTED_VALUE"""),2.0)</f>
        <v>2</v>
      </c>
      <c r="AP87" s="19" t="str">
        <f>IFERROR(__xludf.DUMMYFUNCTION("""COMPUTED_VALUE"""),"EZGAB CORPORATION Total")</f>
        <v>EZGAB CORPORATION Total</v>
      </c>
      <c r="AQ87" s="19"/>
      <c r="AR87" s="19">
        <f>IFERROR(__xludf.DUMMYFUNCTION("""COMPUTED_VALUE"""),2.0)</f>
        <v>2</v>
      </c>
    </row>
    <row r="88">
      <c r="A88" s="1" t="s">
        <v>235</v>
      </c>
      <c r="B88" s="38" t="s">
        <v>537</v>
      </c>
      <c r="C88" s="3" t="s">
        <v>15</v>
      </c>
      <c r="D88" s="39">
        <v>45314.0</v>
      </c>
      <c r="E88" s="2">
        <v>105000.0</v>
      </c>
      <c r="F88" s="2" t="s">
        <v>13</v>
      </c>
      <c r="K88" s="3" t="s">
        <v>15</v>
      </c>
      <c r="L88" s="19" t="s">
        <v>535</v>
      </c>
      <c r="M88" s="2">
        <v>105000.0</v>
      </c>
      <c r="AL88" s="19" t="str">
        <f>IFERROR(__xludf.DUMMYFUNCTION("""COMPUTED_VALUE"""),"F.S. DIZON &amp; SONS INC.")</f>
        <v>F.S. DIZON &amp; SONS INC.</v>
      </c>
      <c r="AM88" s="19" t="str">
        <f>IFERROR(__xludf.DUMMYFUNCTION("""COMPUTED_VALUE"""),"February")</f>
        <v>February</v>
      </c>
      <c r="AN88" s="19">
        <f>IFERROR(__xludf.DUMMYFUNCTION("""COMPUTED_VALUE"""),1.0)</f>
        <v>1</v>
      </c>
      <c r="AP88" s="19" t="str">
        <f>IFERROR(__xludf.DUMMYFUNCTION("""COMPUTED_VALUE"""),"F.S. DIZON &amp; SONS INC.")</f>
        <v>F.S. DIZON &amp; SONS INC.</v>
      </c>
      <c r="AQ88" s="19" t="str">
        <f>IFERROR(__xludf.DUMMYFUNCTION("""COMPUTED_VALUE"""),"February")</f>
        <v>February</v>
      </c>
      <c r="AR88" s="19">
        <f>IFERROR(__xludf.DUMMYFUNCTION("""COMPUTED_VALUE"""),1.0)</f>
        <v>1</v>
      </c>
    </row>
    <row r="89">
      <c r="A89" s="1" t="s">
        <v>237</v>
      </c>
      <c r="B89" s="38" t="s">
        <v>585</v>
      </c>
      <c r="C89" s="3" t="s">
        <v>119</v>
      </c>
      <c r="D89" s="39">
        <v>45315.0</v>
      </c>
      <c r="E89" s="2">
        <v>1048.0</v>
      </c>
      <c r="F89" s="2" t="s">
        <v>9</v>
      </c>
      <c r="K89" s="3" t="s">
        <v>119</v>
      </c>
      <c r="L89" s="19" t="s">
        <v>535</v>
      </c>
      <c r="M89" s="2">
        <v>1048.0</v>
      </c>
      <c r="AL89" s="19" t="str">
        <f>IFERROR(__xludf.DUMMYFUNCTION("""COMPUTED_VALUE"""),"F.S. DIZON &amp; SONS INC. Total")</f>
        <v>F.S. DIZON &amp; SONS INC. Total</v>
      </c>
      <c r="AM89" s="19"/>
      <c r="AN89" s="19">
        <f>IFERROR(__xludf.DUMMYFUNCTION("""COMPUTED_VALUE"""),1.0)</f>
        <v>1</v>
      </c>
      <c r="AP89" s="19" t="str">
        <f>IFERROR(__xludf.DUMMYFUNCTION("""COMPUTED_VALUE"""),"F.S. DIZON &amp; SONS INC. Total")</f>
        <v>F.S. DIZON &amp; SONS INC. Total</v>
      </c>
      <c r="AQ89" s="19"/>
      <c r="AR89" s="19">
        <f>IFERROR(__xludf.DUMMYFUNCTION("""COMPUTED_VALUE"""),1.0)</f>
        <v>1</v>
      </c>
    </row>
    <row r="90">
      <c r="A90" s="1" t="s">
        <v>239</v>
      </c>
      <c r="B90" s="38" t="s">
        <v>634</v>
      </c>
      <c r="C90" s="3" t="s">
        <v>240</v>
      </c>
      <c r="D90" s="39">
        <v>45315.0</v>
      </c>
      <c r="E90" s="2">
        <v>1100.0</v>
      </c>
      <c r="F90" s="2" t="s">
        <v>13</v>
      </c>
      <c r="K90" s="3" t="s">
        <v>240</v>
      </c>
      <c r="L90" s="19" t="s">
        <v>535</v>
      </c>
      <c r="M90" s="2">
        <v>1100.0</v>
      </c>
      <c r="AL90" s="19" t="str">
        <f>IFERROR(__xludf.DUMMYFUNCTION("""COMPUTED_VALUE"""),"FAR EAST ASSOCIATES")</f>
        <v>FAR EAST ASSOCIATES</v>
      </c>
      <c r="AM90" s="19" t="str">
        <f>IFERROR(__xludf.DUMMYFUNCTION("""COMPUTED_VALUE"""),"February")</f>
        <v>February</v>
      </c>
      <c r="AN90" s="19">
        <f>IFERROR(__xludf.DUMMYFUNCTION("""COMPUTED_VALUE"""),1.0)</f>
        <v>1</v>
      </c>
      <c r="AP90" s="19" t="str">
        <f>IFERROR(__xludf.DUMMYFUNCTION("""COMPUTED_VALUE"""),"FAR EAST ASSOCIATES")</f>
        <v>FAR EAST ASSOCIATES</v>
      </c>
      <c r="AQ90" s="19" t="str">
        <f>IFERROR(__xludf.DUMMYFUNCTION("""COMPUTED_VALUE"""),"February")</f>
        <v>February</v>
      </c>
      <c r="AR90" s="19">
        <f>IFERROR(__xludf.DUMMYFUNCTION("""COMPUTED_VALUE"""),1.0)</f>
        <v>1</v>
      </c>
    </row>
    <row r="91">
      <c r="A91" s="1" t="s">
        <v>242</v>
      </c>
      <c r="B91" s="38" t="s">
        <v>611</v>
      </c>
      <c r="C91" s="3" t="s">
        <v>181</v>
      </c>
      <c r="D91" s="39">
        <v>45315.0</v>
      </c>
      <c r="E91" s="2">
        <v>1686.0</v>
      </c>
      <c r="F91" s="2" t="s">
        <v>13</v>
      </c>
      <c r="K91" s="3" t="s">
        <v>181</v>
      </c>
      <c r="L91" s="19" t="s">
        <v>535</v>
      </c>
      <c r="M91" s="2">
        <v>1686.0</v>
      </c>
      <c r="AL91" s="19"/>
      <c r="AM91" s="19" t="str">
        <f>IFERROR(__xludf.DUMMYFUNCTION("""COMPUTED_VALUE"""),"January")</f>
        <v>January</v>
      </c>
      <c r="AN91" s="19">
        <f>IFERROR(__xludf.DUMMYFUNCTION("""COMPUTED_VALUE"""),1.0)</f>
        <v>1</v>
      </c>
      <c r="AP91" s="19"/>
      <c r="AQ91" s="19" t="str">
        <f>IFERROR(__xludf.DUMMYFUNCTION("""COMPUTED_VALUE"""),"January")</f>
        <v>January</v>
      </c>
      <c r="AR91" s="19">
        <f>IFERROR(__xludf.DUMMYFUNCTION("""COMPUTED_VALUE"""),1.0)</f>
        <v>1</v>
      </c>
    </row>
    <row r="92">
      <c r="A92" s="1" t="s">
        <v>244</v>
      </c>
      <c r="B92" s="38" t="s">
        <v>636</v>
      </c>
      <c r="C92" s="3" t="s">
        <v>245</v>
      </c>
      <c r="D92" s="39">
        <v>45315.0</v>
      </c>
      <c r="E92" s="2">
        <v>4562.0</v>
      </c>
      <c r="F92" s="2" t="s">
        <v>9</v>
      </c>
      <c r="K92" s="3" t="s">
        <v>245</v>
      </c>
      <c r="L92" s="19" t="s">
        <v>535</v>
      </c>
      <c r="M92" s="2">
        <v>4562.0</v>
      </c>
      <c r="AL92" s="19" t="str">
        <f>IFERROR(__xludf.DUMMYFUNCTION("""COMPUTED_VALUE"""),"FAR EAST ASSOCIATES Total")</f>
        <v>FAR EAST ASSOCIATES Total</v>
      </c>
      <c r="AM92" s="19"/>
      <c r="AN92" s="19">
        <f>IFERROR(__xludf.DUMMYFUNCTION("""COMPUTED_VALUE"""),2.0)</f>
        <v>2</v>
      </c>
      <c r="AP92" s="19" t="str">
        <f>IFERROR(__xludf.DUMMYFUNCTION("""COMPUTED_VALUE"""),"FAR EAST ASSOCIATES Total")</f>
        <v>FAR EAST ASSOCIATES Total</v>
      </c>
      <c r="AQ92" s="19"/>
      <c r="AR92" s="19">
        <f>IFERROR(__xludf.DUMMYFUNCTION("""COMPUTED_VALUE"""),2.0)</f>
        <v>2</v>
      </c>
    </row>
    <row r="93">
      <c r="A93" s="1" t="s">
        <v>247</v>
      </c>
      <c r="B93" s="38" t="s">
        <v>636</v>
      </c>
      <c r="C93" s="3" t="s">
        <v>245</v>
      </c>
      <c r="D93" s="39">
        <v>45315.0</v>
      </c>
      <c r="E93" s="2">
        <v>4700.0</v>
      </c>
      <c r="F93" s="2" t="s">
        <v>9</v>
      </c>
      <c r="K93" s="3" t="s">
        <v>245</v>
      </c>
      <c r="L93" s="19" t="s">
        <v>535</v>
      </c>
      <c r="M93" s="2">
        <v>4700.0</v>
      </c>
      <c r="AL93" s="19" t="str">
        <f>IFERROR(__xludf.DUMMYFUNCTION("""COMPUTED_VALUE"""),"FELY M. MORATA CUSTOM BROKERAGE SERVICES")</f>
        <v>FELY M. MORATA CUSTOM BROKERAGE SERVICES</v>
      </c>
      <c r="AM93" s="19" t="str">
        <f>IFERROR(__xludf.DUMMYFUNCTION("""COMPUTED_VALUE"""),"January")</f>
        <v>January</v>
      </c>
      <c r="AN93" s="19">
        <f>IFERROR(__xludf.DUMMYFUNCTION("""COMPUTED_VALUE"""),1.0)</f>
        <v>1</v>
      </c>
      <c r="AP93" s="19" t="str">
        <f>IFERROR(__xludf.DUMMYFUNCTION("""COMPUTED_VALUE"""),"FELY M. MORATA CUSTOM BROKERAGE SERVICES")</f>
        <v>FELY M. MORATA CUSTOM BROKERAGE SERVICES</v>
      </c>
      <c r="AQ93" s="19" t="str">
        <f>IFERROR(__xludf.DUMMYFUNCTION("""COMPUTED_VALUE"""),"January")</f>
        <v>January</v>
      </c>
      <c r="AR93" s="19">
        <f>IFERROR(__xludf.DUMMYFUNCTION("""COMPUTED_VALUE"""),1.0)</f>
        <v>1</v>
      </c>
    </row>
    <row r="94">
      <c r="A94" s="1" t="s">
        <v>249</v>
      </c>
      <c r="B94" s="38" t="s">
        <v>585</v>
      </c>
      <c r="C94" s="3" t="s">
        <v>119</v>
      </c>
      <c r="D94" s="39">
        <v>45315.0</v>
      </c>
      <c r="E94" s="2">
        <v>11901.4</v>
      </c>
      <c r="F94" s="2" t="s">
        <v>9</v>
      </c>
      <c r="K94" s="3" t="s">
        <v>119</v>
      </c>
      <c r="L94" s="19" t="s">
        <v>535</v>
      </c>
      <c r="M94" s="2">
        <v>11901.4</v>
      </c>
      <c r="AL94" s="19" t="str">
        <f>IFERROR(__xludf.DUMMYFUNCTION("""COMPUTED_VALUE"""),"FELY M. MORATA CUSTOM BROKERAGE SERVICES Total")</f>
        <v>FELY M. MORATA CUSTOM BROKERAGE SERVICES Total</v>
      </c>
      <c r="AM94" s="19"/>
      <c r="AN94" s="19">
        <f>IFERROR(__xludf.DUMMYFUNCTION("""COMPUTED_VALUE"""),1.0)</f>
        <v>1</v>
      </c>
      <c r="AP94" s="19" t="str">
        <f>IFERROR(__xludf.DUMMYFUNCTION("""COMPUTED_VALUE"""),"FELY M. MORATA CUSTOM BROKERAGE SERVICES Total")</f>
        <v>FELY M. MORATA CUSTOM BROKERAGE SERVICES Total</v>
      </c>
      <c r="AQ94" s="19"/>
      <c r="AR94" s="19">
        <f>IFERROR(__xludf.DUMMYFUNCTION("""COMPUTED_VALUE"""),1.0)</f>
        <v>1</v>
      </c>
    </row>
    <row r="95">
      <c r="A95" s="1" t="s">
        <v>251</v>
      </c>
      <c r="B95" s="38" t="s">
        <v>638</v>
      </c>
      <c r="C95" s="3" t="s">
        <v>252</v>
      </c>
      <c r="D95" s="39">
        <v>45315.0</v>
      </c>
      <c r="E95" s="2">
        <v>12300.0</v>
      </c>
      <c r="F95" s="2" t="s">
        <v>9</v>
      </c>
      <c r="K95" s="3" t="s">
        <v>252</v>
      </c>
      <c r="L95" s="19" t="s">
        <v>535</v>
      </c>
      <c r="M95" s="2">
        <v>12300.0</v>
      </c>
      <c r="AL95" s="19" t="str">
        <f>IFERROR(__xludf.DUMMYFUNCTION("""COMPUTED_VALUE"""),"FIESTA  APPLIANCE CENTER INC.")</f>
        <v>FIESTA  APPLIANCE CENTER INC.</v>
      </c>
      <c r="AM95" s="19" t="str">
        <f>IFERROR(__xludf.DUMMYFUNCTION("""COMPUTED_VALUE"""),"January")</f>
        <v>January</v>
      </c>
      <c r="AN95" s="19">
        <f>IFERROR(__xludf.DUMMYFUNCTION("""COMPUTED_VALUE"""),1.0)</f>
        <v>1</v>
      </c>
      <c r="AP95" s="19" t="str">
        <f>IFERROR(__xludf.DUMMYFUNCTION("""COMPUTED_VALUE"""),"FIESTA  APPLIANCE CENTER INC.")</f>
        <v>FIESTA  APPLIANCE CENTER INC.</v>
      </c>
      <c r="AQ95" s="19" t="str">
        <f>IFERROR(__xludf.DUMMYFUNCTION("""COMPUTED_VALUE"""),"January")</f>
        <v>January</v>
      </c>
      <c r="AR95" s="19">
        <f>IFERROR(__xludf.DUMMYFUNCTION("""COMPUTED_VALUE"""),1.0)</f>
        <v>1</v>
      </c>
    </row>
    <row r="96">
      <c r="A96" s="1" t="s">
        <v>254</v>
      </c>
      <c r="B96" s="38" t="s">
        <v>640</v>
      </c>
      <c r="C96" s="3" t="s">
        <v>255</v>
      </c>
      <c r="D96" s="39">
        <v>45315.0</v>
      </c>
      <c r="E96" s="2">
        <v>13000.0</v>
      </c>
      <c r="F96" s="2" t="s">
        <v>13</v>
      </c>
      <c r="K96" s="3" t="s">
        <v>255</v>
      </c>
      <c r="L96" s="19" t="s">
        <v>535</v>
      </c>
      <c r="M96" s="2">
        <v>13000.0</v>
      </c>
      <c r="AL96" s="19" t="str">
        <f>IFERROR(__xludf.DUMMYFUNCTION("""COMPUTED_VALUE"""),"FIESTA  APPLIANCE CENTER INC. Total")</f>
        <v>FIESTA  APPLIANCE CENTER INC. Total</v>
      </c>
      <c r="AM96" s="19"/>
      <c r="AN96" s="19">
        <f>IFERROR(__xludf.DUMMYFUNCTION("""COMPUTED_VALUE"""),1.0)</f>
        <v>1</v>
      </c>
      <c r="AP96" s="19" t="str">
        <f>IFERROR(__xludf.DUMMYFUNCTION("""COMPUTED_VALUE"""),"FIESTA  APPLIANCE CENTER INC. Total")</f>
        <v>FIESTA  APPLIANCE CENTER INC. Total</v>
      </c>
      <c r="AQ96" s="19"/>
      <c r="AR96" s="19">
        <f>IFERROR(__xludf.DUMMYFUNCTION("""COMPUTED_VALUE"""),1.0)</f>
        <v>1</v>
      </c>
    </row>
    <row r="97">
      <c r="A97" s="1" t="s">
        <v>257</v>
      </c>
      <c r="B97" s="38" t="s">
        <v>585</v>
      </c>
      <c r="C97" s="3" t="s">
        <v>119</v>
      </c>
      <c r="D97" s="39">
        <v>45315.0</v>
      </c>
      <c r="E97" s="2">
        <v>16466.0</v>
      </c>
      <c r="F97" s="2" t="s">
        <v>9</v>
      </c>
      <c r="K97" s="3" t="s">
        <v>119</v>
      </c>
      <c r="L97" s="19" t="s">
        <v>535</v>
      </c>
      <c r="M97" s="2">
        <v>16466.0</v>
      </c>
      <c r="AL97" s="19" t="str">
        <f>IFERROR(__xludf.DUMMYFUNCTION("""COMPUTED_VALUE"""),"FOCUSINC GROUP CORP.")</f>
        <v>FOCUSINC GROUP CORP.</v>
      </c>
      <c r="AM97" s="19" t="str">
        <f>IFERROR(__xludf.DUMMYFUNCTION("""COMPUTED_VALUE"""),"January")</f>
        <v>January</v>
      </c>
      <c r="AN97" s="19">
        <f>IFERROR(__xludf.DUMMYFUNCTION("""COMPUTED_VALUE"""),1.0)</f>
        <v>1</v>
      </c>
      <c r="AP97" s="19" t="str">
        <f>IFERROR(__xludf.DUMMYFUNCTION("""COMPUTED_VALUE"""),"FOCUSINC GROUP CORP.")</f>
        <v>FOCUSINC GROUP CORP.</v>
      </c>
      <c r="AQ97" s="19" t="str">
        <f>IFERROR(__xludf.DUMMYFUNCTION("""COMPUTED_VALUE"""),"January")</f>
        <v>January</v>
      </c>
      <c r="AR97" s="19">
        <f>IFERROR(__xludf.DUMMYFUNCTION("""COMPUTED_VALUE"""),1.0)</f>
        <v>1</v>
      </c>
    </row>
    <row r="98">
      <c r="A98" s="1" t="s">
        <v>259</v>
      </c>
      <c r="B98" s="38" t="s">
        <v>585</v>
      </c>
      <c r="C98" s="3" t="s">
        <v>119</v>
      </c>
      <c r="D98" s="39">
        <v>45315.0</v>
      </c>
      <c r="E98" s="2">
        <v>18387.75</v>
      </c>
      <c r="F98" s="2" t="s">
        <v>9</v>
      </c>
      <c r="K98" s="3" t="s">
        <v>119</v>
      </c>
      <c r="L98" s="19" t="s">
        <v>535</v>
      </c>
      <c r="M98" s="2">
        <v>18387.75</v>
      </c>
      <c r="AL98" s="19" t="str">
        <f>IFERROR(__xludf.DUMMYFUNCTION("""COMPUTED_VALUE"""),"FOCUSINC GROUP CORP. Total")</f>
        <v>FOCUSINC GROUP CORP. Total</v>
      </c>
      <c r="AM98" s="19"/>
      <c r="AN98" s="19">
        <f>IFERROR(__xludf.DUMMYFUNCTION("""COMPUTED_VALUE"""),1.0)</f>
        <v>1</v>
      </c>
      <c r="AP98" s="19" t="str">
        <f>IFERROR(__xludf.DUMMYFUNCTION("""COMPUTED_VALUE"""),"FOCUSINC GROUP CORP. Total")</f>
        <v>FOCUSINC GROUP CORP. Total</v>
      </c>
      <c r="AQ98" s="19"/>
      <c r="AR98" s="19">
        <f>IFERROR(__xludf.DUMMYFUNCTION("""COMPUTED_VALUE"""),1.0)</f>
        <v>1</v>
      </c>
    </row>
    <row r="99">
      <c r="A99" s="1" t="s">
        <v>261</v>
      </c>
      <c r="B99" s="38" t="s">
        <v>642</v>
      </c>
      <c r="C99" s="3" t="s">
        <v>262</v>
      </c>
      <c r="D99" s="39">
        <v>45316.0</v>
      </c>
      <c r="E99" s="2">
        <v>966.0</v>
      </c>
      <c r="F99" s="2" t="s">
        <v>9</v>
      </c>
      <c r="K99" s="3" t="s">
        <v>262</v>
      </c>
      <c r="L99" s="19" t="s">
        <v>535</v>
      </c>
      <c r="M99" s="2">
        <v>966.0</v>
      </c>
      <c r="AL99" s="19" t="str">
        <f>IFERROR(__xludf.DUMMYFUNCTION("""COMPUTED_VALUE"""),"GOLDEN BALES CORPORATION")</f>
        <v>GOLDEN BALES CORPORATION</v>
      </c>
      <c r="AM99" s="19" t="str">
        <f>IFERROR(__xludf.DUMMYFUNCTION("""COMPUTED_VALUE"""),"January")</f>
        <v>January</v>
      </c>
      <c r="AN99" s="19">
        <f>IFERROR(__xludf.DUMMYFUNCTION("""COMPUTED_VALUE"""),1.0)</f>
        <v>1</v>
      </c>
      <c r="AP99" s="19" t="str">
        <f>IFERROR(__xludf.DUMMYFUNCTION("""COMPUTED_VALUE"""),"GOLDEN BALES CORPORATION")</f>
        <v>GOLDEN BALES CORPORATION</v>
      </c>
      <c r="AQ99" s="19" t="str">
        <f>IFERROR(__xludf.DUMMYFUNCTION("""COMPUTED_VALUE"""),"January")</f>
        <v>January</v>
      </c>
      <c r="AR99" s="19">
        <f>IFERROR(__xludf.DUMMYFUNCTION("""COMPUTED_VALUE"""),1.0)</f>
        <v>1</v>
      </c>
    </row>
    <row r="100">
      <c r="A100" s="1" t="s">
        <v>264</v>
      </c>
      <c r="B100" s="38" t="s">
        <v>644</v>
      </c>
      <c r="C100" s="3" t="s">
        <v>265</v>
      </c>
      <c r="D100" s="39">
        <v>45316.0</v>
      </c>
      <c r="E100" s="2">
        <v>2200.0</v>
      </c>
      <c r="F100" s="2" t="s">
        <v>13</v>
      </c>
      <c r="K100" s="3" t="s">
        <v>265</v>
      </c>
      <c r="L100" s="19" t="s">
        <v>535</v>
      </c>
      <c r="M100" s="2">
        <v>2200.0</v>
      </c>
      <c r="AL100" s="19" t="str">
        <f>IFERROR(__xludf.DUMMYFUNCTION("""COMPUTED_VALUE"""),"GOLDEN BALES CORPORATION Total")</f>
        <v>GOLDEN BALES CORPORATION Total</v>
      </c>
      <c r="AM100" s="19"/>
      <c r="AN100" s="19">
        <f>IFERROR(__xludf.DUMMYFUNCTION("""COMPUTED_VALUE"""),1.0)</f>
        <v>1</v>
      </c>
      <c r="AP100" s="19" t="str">
        <f>IFERROR(__xludf.DUMMYFUNCTION("""COMPUTED_VALUE"""),"GOLDEN BALES CORPORATION Total")</f>
        <v>GOLDEN BALES CORPORATION Total</v>
      </c>
      <c r="AQ100" s="19"/>
      <c r="AR100" s="19">
        <f>IFERROR(__xludf.DUMMYFUNCTION("""COMPUTED_VALUE"""),1.0)</f>
        <v>1</v>
      </c>
    </row>
    <row r="101">
      <c r="A101" s="1" t="s">
        <v>266</v>
      </c>
      <c r="B101" s="38" t="s">
        <v>645</v>
      </c>
      <c r="C101" s="3" t="s">
        <v>267</v>
      </c>
      <c r="D101" s="39">
        <v>45316.0</v>
      </c>
      <c r="E101" s="2">
        <v>19060.5</v>
      </c>
      <c r="F101" s="2" t="s">
        <v>13</v>
      </c>
      <c r="K101" s="3" t="s">
        <v>267</v>
      </c>
      <c r="L101" s="19" t="s">
        <v>535</v>
      </c>
      <c r="M101" s="2">
        <v>19060.5</v>
      </c>
      <c r="AL101" s="19" t="str">
        <f>IFERROR(__xludf.DUMMYFUNCTION("""COMPUTED_VALUE"""),"GREENKREATIONS INC.")</f>
        <v>GREENKREATIONS INC.</v>
      </c>
      <c r="AM101" s="19" t="str">
        <f>IFERROR(__xludf.DUMMYFUNCTION("""COMPUTED_VALUE"""),"January")</f>
        <v>January</v>
      </c>
      <c r="AN101" s="19">
        <f>IFERROR(__xludf.DUMMYFUNCTION("""COMPUTED_VALUE"""),1.0)</f>
        <v>1</v>
      </c>
      <c r="AP101" s="19" t="str">
        <f>IFERROR(__xludf.DUMMYFUNCTION("""COMPUTED_VALUE"""),"GREENKREATIONS INC.")</f>
        <v>GREENKREATIONS INC.</v>
      </c>
      <c r="AQ101" s="19" t="str">
        <f>IFERROR(__xludf.DUMMYFUNCTION("""COMPUTED_VALUE"""),"January")</f>
        <v>January</v>
      </c>
      <c r="AR101" s="19">
        <f>IFERROR(__xludf.DUMMYFUNCTION("""COMPUTED_VALUE"""),1.0)</f>
        <v>1</v>
      </c>
    </row>
    <row r="102">
      <c r="A102" s="1" t="s">
        <v>269</v>
      </c>
      <c r="B102" s="38" t="s">
        <v>647</v>
      </c>
      <c r="C102" s="3" t="s">
        <v>270</v>
      </c>
      <c r="D102" s="39">
        <v>45317.0</v>
      </c>
      <c r="E102" s="2">
        <v>1099.0</v>
      </c>
      <c r="F102" s="2" t="s">
        <v>139</v>
      </c>
      <c r="K102" s="3" t="s">
        <v>270</v>
      </c>
      <c r="L102" s="19" t="s">
        <v>535</v>
      </c>
      <c r="M102" s="2">
        <v>1099.0</v>
      </c>
      <c r="AL102" s="19" t="str">
        <f>IFERROR(__xludf.DUMMYFUNCTION("""COMPUTED_VALUE"""),"GREENKREATIONS INC. Total")</f>
        <v>GREENKREATIONS INC. Total</v>
      </c>
      <c r="AM102" s="19"/>
      <c r="AN102" s="19">
        <f>IFERROR(__xludf.DUMMYFUNCTION("""COMPUTED_VALUE"""),1.0)</f>
        <v>1</v>
      </c>
      <c r="AP102" s="19" t="str">
        <f>IFERROR(__xludf.DUMMYFUNCTION("""COMPUTED_VALUE"""),"GREENKREATIONS INC. Total")</f>
        <v>GREENKREATIONS INC. Total</v>
      </c>
      <c r="AQ102" s="19"/>
      <c r="AR102" s="19">
        <f>IFERROR(__xludf.DUMMYFUNCTION("""COMPUTED_VALUE"""),1.0)</f>
        <v>1</v>
      </c>
    </row>
    <row r="103">
      <c r="A103" s="1" t="s">
        <v>272</v>
      </c>
      <c r="B103" s="38" t="s">
        <v>648</v>
      </c>
      <c r="C103" s="3" t="s">
        <v>273</v>
      </c>
      <c r="D103" s="39">
        <v>45317.0</v>
      </c>
      <c r="E103" s="2">
        <v>3280.0</v>
      </c>
      <c r="F103" s="2" t="s">
        <v>13</v>
      </c>
      <c r="K103" s="3" t="s">
        <v>273</v>
      </c>
      <c r="L103" s="19" t="s">
        <v>535</v>
      </c>
      <c r="M103" s="2">
        <v>3280.0</v>
      </c>
      <c r="AL103" s="19" t="str">
        <f>IFERROR(__xludf.DUMMYFUNCTION("""COMPUTED_VALUE"""),"GTM GET THINGS MOVING DISTRIBUTION INC.")</f>
        <v>GTM GET THINGS MOVING DISTRIBUTION INC.</v>
      </c>
      <c r="AM103" s="19" t="str">
        <f>IFERROR(__xludf.DUMMYFUNCTION("""COMPUTED_VALUE"""),"January")</f>
        <v>January</v>
      </c>
      <c r="AN103" s="19">
        <f>IFERROR(__xludf.DUMMYFUNCTION("""COMPUTED_VALUE"""),1.0)</f>
        <v>1</v>
      </c>
      <c r="AP103" s="19" t="str">
        <f>IFERROR(__xludf.DUMMYFUNCTION("""COMPUTED_VALUE"""),"GTM GET THINGS MOVING DISTRIBUTION INC.")</f>
        <v>GTM GET THINGS MOVING DISTRIBUTION INC.</v>
      </c>
      <c r="AQ103" s="19" t="str">
        <f>IFERROR(__xludf.DUMMYFUNCTION("""COMPUTED_VALUE"""),"January")</f>
        <v>January</v>
      </c>
      <c r="AR103" s="19">
        <f>IFERROR(__xludf.DUMMYFUNCTION("""COMPUTED_VALUE"""),1.0)</f>
        <v>1</v>
      </c>
    </row>
    <row r="104">
      <c r="A104" s="1" t="s">
        <v>275</v>
      </c>
      <c r="B104" s="38" t="s">
        <v>650</v>
      </c>
      <c r="C104" s="3" t="s">
        <v>276</v>
      </c>
      <c r="D104" s="39">
        <v>45317.0</v>
      </c>
      <c r="E104" s="2">
        <v>5900.0</v>
      </c>
      <c r="F104" s="2" t="s">
        <v>9</v>
      </c>
      <c r="K104" s="3" t="s">
        <v>276</v>
      </c>
      <c r="L104" s="19" t="s">
        <v>535</v>
      </c>
      <c r="M104" s="2">
        <v>5900.0</v>
      </c>
      <c r="AL104" s="19" t="str">
        <f>IFERROR(__xludf.DUMMYFUNCTION("""COMPUTED_VALUE"""),"GTM GET THINGS MOVING DISTRIBUTION INC. Total")</f>
        <v>GTM GET THINGS MOVING DISTRIBUTION INC. Total</v>
      </c>
      <c r="AM104" s="19"/>
      <c r="AN104" s="19">
        <f>IFERROR(__xludf.DUMMYFUNCTION("""COMPUTED_VALUE"""),1.0)</f>
        <v>1</v>
      </c>
      <c r="AP104" s="19" t="str">
        <f>IFERROR(__xludf.DUMMYFUNCTION("""COMPUTED_VALUE"""),"GTM GET THINGS MOVING DISTRIBUTION INC. Total")</f>
        <v>GTM GET THINGS MOVING DISTRIBUTION INC. Total</v>
      </c>
      <c r="AQ104" s="19"/>
      <c r="AR104" s="19">
        <f>IFERROR(__xludf.DUMMYFUNCTION("""COMPUTED_VALUE"""),1.0)</f>
        <v>1</v>
      </c>
    </row>
    <row r="105">
      <c r="A105" s="1" t="s">
        <v>278</v>
      </c>
      <c r="B105" s="38" t="s">
        <v>651</v>
      </c>
      <c r="C105" s="3" t="s">
        <v>279</v>
      </c>
      <c r="D105" s="39">
        <v>45317.0</v>
      </c>
      <c r="E105" s="2">
        <v>10831.5</v>
      </c>
      <c r="F105" s="2" t="s">
        <v>13</v>
      </c>
      <c r="K105" s="3" t="s">
        <v>279</v>
      </c>
      <c r="L105" s="19" t="s">
        <v>535</v>
      </c>
      <c r="M105" s="2">
        <v>10831.5</v>
      </c>
      <c r="AL105" s="19" t="str">
        <f>IFERROR(__xludf.DUMMYFUNCTION("""COMPUTED_VALUE"""),"HAFELE PHILIPPINES INC.")</f>
        <v>HAFELE PHILIPPINES INC.</v>
      </c>
      <c r="AM105" s="19" t="str">
        <f>IFERROR(__xludf.DUMMYFUNCTION("""COMPUTED_VALUE"""),"January")</f>
        <v>January</v>
      </c>
      <c r="AN105" s="19">
        <f>IFERROR(__xludf.DUMMYFUNCTION("""COMPUTED_VALUE"""),1.0)</f>
        <v>1</v>
      </c>
      <c r="AP105" s="19" t="str">
        <f>IFERROR(__xludf.DUMMYFUNCTION("""COMPUTED_VALUE"""),"HAFELE PHILIPPINES INC.")</f>
        <v>HAFELE PHILIPPINES INC.</v>
      </c>
      <c r="AQ105" s="19" t="str">
        <f>IFERROR(__xludf.DUMMYFUNCTION("""COMPUTED_VALUE"""),"January")</f>
        <v>January</v>
      </c>
      <c r="AR105" s="19">
        <f>IFERROR(__xludf.DUMMYFUNCTION("""COMPUTED_VALUE"""),1.0)</f>
        <v>1</v>
      </c>
    </row>
    <row r="106">
      <c r="A106" s="1" t="s">
        <v>281</v>
      </c>
      <c r="B106" s="38" t="s">
        <v>653</v>
      </c>
      <c r="C106" s="3" t="s">
        <v>282</v>
      </c>
      <c r="D106" s="39">
        <v>45318.0</v>
      </c>
      <c r="E106" s="2">
        <v>903.92</v>
      </c>
      <c r="F106" s="2" t="s">
        <v>13</v>
      </c>
      <c r="K106" s="3" t="s">
        <v>282</v>
      </c>
      <c r="L106" s="19" t="s">
        <v>535</v>
      </c>
      <c r="M106" s="2">
        <v>903.92</v>
      </c>
      <c r="AL106" s="19" t="str">
        <f>IFERROR(__xludf.DUMMYFUNCTION("""COMPUTED_VALUE"""),"HAFELE PHILIPPINES INC. Total")</f>
        <v>HAFELE PHILIPPINES INC. Total</v>
      </c>
      <c r="AM106" s="19"/>
      <c r="AN106" s="19">
        <f>IFERROR(__xludf.DUMMYFUNCTION("""COMPUTED_VALUE"""),1.0)</f>
        <v>1</v>
      </c>
      <c r="AP106" s="19" t="str">
        <f>IFERROR(__xludf.DUMMYFUNCTION("""COMPUTED_VALUE"""),"HAFELE PHILIPPINES INC. Total")</f>
        <v>HAFELE PHILIPPINES INC. Total</v>
      </c>
      <c r="AQ106" s="19"/>
      <c r="AR106" s="19">
        <f>IFERROR(__xludf.DUMMYFUNCTION("""COMPUTED_VALUE"""),1.0)</f>
        <v>1</v>
      </c>
    </row>
    <row r="107">
      <c r="A107" s="1" t="s">
        <v>284</v>
      </c>
      <c r="B107" s="38" t="s">
        <v>654</v>
      </c>
      <c r="C107" s="3" t="s">
        <v>285</v>
      </c>
      <c r="D107" s="39">
        <v>45318.0</v>
      </c>
      <c r="E107" s="2">
        <v>1804.0</v>
      </c>
      <c r="F107" s="2" t="s">
        <v>13</v>
      </c>
      <c r="K107" s="3" t="s">
        <v>285</v>
      </c>
      <c r="L107" s="19" t="s">
        <v>535</v>
      </c>
      <c r="M107" s="2">
        <v>1804.0</v>
      </c>
      <c r="AL107" s="19" t="str">
        <f>IFERROR(__xludf.DUMMYFUNCTION("""COMPUTED_VALUE"""),"HAVEN UNITED DEV'T. CORPORATION")</f>
        <v>HAVEN UNITED DEV'T. CORPORATION</v>
      </c>
      <c r="AM107" s="19" t="str">
        <f>IFERROR(__xludf.DUMMYFUNCTION("""COMPUTED_VALUE"""),"February")</f>
        <v>February</v>
      </c>
      <c r="AN107" s="19">
        <f>IFERROR(__xludf.DUMMYFUNCTION("""COMPUTED_VALUE"""),1.0)</f>
        <v>1</v>
      </c>
      <c r="AP107" s="19" t="str">
        <f>IFERROR(__xludf.DUMMYFUNCTION("""COMPUTED_VALUE"""),"HAVEN UNITED DEV'T. CORPORATION")</f>
        <v>HAVEN UNITED DEV'T. CORPORATION</v>
      </c>
      <c r="AQ107" s="19" t="str">
        <f>IFERROR(__xludf.DUMMYFUNCTION("""COMPUTED_VALUE"""),"February")</f>
        <v>February</v>
      </c>
      <c r="AR107" s="19">
        <f>IFERROR(__xludf.DUMMYFUNCTION("""COMPUTED_VALUE"""),1.0)</f>
        <v>1</v>
      </c>
    </row>
    <row r="108">
      <c r="A108" s="1" t="s">
        <v>287</v>
      </c>
      <c r="B108" s="38" t="s">
        <v>656</v>
      </c>
      <c r="C108" s="3" t="s">
        <v>288</v>
      </c>
      <c r="D108" s="39">
        <v>45320.0</v>
      </c>
      <c r="E108" s="2">
        <v>7650.0</v>
      </c>
      <c r="F108" s="2" t="s">
        <v>13</v>
      </c>
      <c r="K108" s="3" t="s">
        <v>288</v>
      </c>
      <c r="L108" s="19" t="s">
        <v>535</v>
      </c>
      <c r="M108" s="2">
        <v>7650.0</v>
      </c>
      <c r="AL108" s="19" t="str">
        <f>IFERROR(__xludf.DUMMYFUNCTION("""COMPUTED_VALUE"""),"HAVEN UNITED DEV'T. CORPORATION Total")</f>
        <v>HAVEN UNITED DEV'T. CORPORATION Total</v>
      </c>
      <c r="AM108" s="19"/>
      <c r="AN108" s="19">
        <f>IFERROR(__xludf.DUMMYFUNCTION("""COMPUTED_VALUE"""),1.0)</f>
        <v>1</v>
      </c>
      <c r="AP108" s="19" t="str">
        <f>IFERROR(__xludf.DUMMYFUNCTION("""COMPUTED_VALUE"""),"HAVEN UNITED DEV'T. CORPORATION Total")</f>
        <v>HAVEN UNITED DEV'T. CORPORATION Total</v>
      </c>
      <c r="AQ108" s="19"/>
      <c r="AR108" s="19">
        <f>IFERROR(__xludf.DUMMYFUNCTION("""COMPUTED_VALUE"""),1.0)</f>
        <v>1</v>
      </c>
    </row>
    <row r="109">
      <c r="A109" s="1" t="s">
        <v>290</v>
      </c>
      <c r="B109" s="38" t="s">
        <v>657</v>
      </c>
      <c r="C109" s="3" t="s">
        <v>291</v>
      </c>
      <c r="D109" s="39">
        <v>45320.0</v>
      </c>
      <c r="E109" s="2">
        <v>8128.0</v>
      </c>
      <c r="F109" s="2" t="s">
        <v>13</v>
      </c>
      <c r="K109" s="3" t="s">
        <v>291</v>
      </c>
      <c r="L109" s="19" t="s">
        <v>535</v>
      </c>
      <c r="M109" s="2">
        <v>8128.0</v>
      </c>
      <c r="AL109" s="19" t="str">
        <f>IFERROR(__xludf.DUMMYFUNCTION("""COMPUTED_VALUE"""),"HEAD CORPORATION")</f>
        <v>HEAD CORPORATION</v>
      </c>
      <c r="AM109" s="19" t="str">
        <f>IFERROR(__xludf.DUMMYFUNCTION("""COMPUTED_VALUE"""),"February")</f>
        <v>February</v>
      </c>
      <c r="AN109" s="19">
        <f>IFERROR(__xludf.DUMMYFUNCTION("""COMPUTED_VALUE"""),1.0)</f>
        <v>1</v>
      </c>
      <c r="AP109" s="19" t="str">
        <f>IFERROR(__xludf.DUMMYFUNCTION("""COMPUTED_VALUE"""),"HEAD CORPORATION")</f>
        <v>HEAD CORPORATION</v>
      </c>
      <c r="AQ109" s="19" t="str">
        <f>IFERROR(__xludf.DUMMYFUNCTION("""COMPUTED_VALUE"""),"February")</f>
        <v>February</v>
      </c>
      <c r="AR109" s="19">
        <f>IFERROR(__xludf.DUMMYFUNCTION("""COMPUTED_VALUE"""),1.0)</f>
        <v>1</v>
      </c>
    </row>
    <row r="110">
      <c r="A110" s="1" t="s">
        <v>293</v>
      </c>
      <c r="B110" s="38" t="s">
        <v>659</v>
      </c>
      <c r="C110" s="3" t="s">
        <v>294</v>
      </c>
      <c r="D110" s="39">
        <v>45320.0</v>
      </c>
      <c r="E110" s="2">
        <v>17417.0</v>
      </c>
      <c r="F110" s="2" t="s">
        <v>13</v>
      </c>
      <c r="K110" s="3" t="s">
        <v>294</v>
      </c>
      <c r="L110" s="19" t="s">
        <v>535</v>
      </c>
      <c r="M110" s="2">
        <v>17417.0</v>
      </c>
      <c r="AL110" s="19" t="str">
        <f>IFERROR(__xludf.DUMMYFUNCTION("""COMPUTED_VALUE"""),"HEAD CORPORATION Total")</f>
        <v>HEAD CORPORATION Total</v>
      </c>
      <c r="AM110" s="19"/>
      <c r="AN110" s="19">
        <f>IFERROR(__xludf.DUMMYFUNCTION("""COMPUTED_VALUE"""),1.0)</f>
        <v>1</v>
      </c>
      <c r="AP110" s="19" t="str">
        <f>IFERROR(__xludf.DUMMYFUNCTION("""COMPUTED_VALUE"""),"HEAD CORPORATION Total")</f>
        <v>HEAD CORPORATION Total</v>
      </c>
      <c r="AQ110" s="19"/>
      <c r="AR110" s="19">
        <f>IFERROR(__xludf.DUMMYFUNCTION("""COMPUTED_VALUE"""),1.0)</f>
        <v>1</v>
      </c>
    </row>
    <row r="111">
      <c r="A111" s="1" t="s">
        <v>297</v>
      </c>
      <c r="B111" s="38" t="s">
        <v>660</v>
      </c>
      <c r="C111" s="3" t="s">
        <v>298</v>
      </c>
      <c r="D111" s="39">
        <v>45320.0</v>
      </c>
      <c r="E111" s="2">
        <v>22725.0</v>
      </c>
      <c r="F111" s="2" t="s">
        <v>9</v>
      </c>
      <c r="K111" s="3" t="s">
        <v>298</v>
      </c>
      <c r="L111" s="19" t="s">
        <v>535</v>
      </c>
      <c r="M111" s="2">
        <v>22725.0</v>
      </c>
      <c r="AL111" s="19" t="str">
        <f>IFERROR(__xludf.DUMMYFUNCTION("""COMPUTED_VALUE"""),"HELPMATE INCORPORATED")</f>
        <v>HELPMATE INCORPORATED</v>
      </c>
      <c r="AM111" s="19" t="str">
        <f>IFERROR(__xludf.DUMMYFUNCTION("""COMPUTED_VALUE"""),"January")</f>
        <v>January</v>
      </c>
      <c r="AN111" s="19">
        <f>IFERROR(__xludf.DUMMYFUNCTION("""COMPUTED_VALUE"""),1.0)</f>
        <v>1</v>
      </c>
      <c r="AP111" s="19" t="str">
        <f>IFERROR(__xludf.DUMMYFUNCTION("""COMPUTED_VALUE"""),"HELPMATE INCORPORATED")</f>
        <v>HELPMATE INCORPORATED</v>
      </c>
      <c r="AQ111" s="19" t="str">
        <f>IFERROR(__xludf.DUMMYFUNCTION("""COMPUTED_VALUE"""),"January")</f>
        <v>January</v>
      </c>
      <c r="AR111" s="19">
        <f>IFERROR(__xludf.DUMMYFUNCTION("""COMPUTED_VALUE"""),1.0)</f>
        <v>1</v>
      </c>
    </row>
    <row r="112">
      <c r="A112" s="1" t="s">
        <v>300</v>
      </c>
      <c r="B112" s="38" t="s">
        <v>662</v>
      </c>
      <c r="C112" s="3" t="s">
        <v>301</v>
      </c>
      <c r="D112" s="39">
        <v>45320.0</v>
      </c>
      <c r="E112" s="2">
        <v>45360.0</v>
      </c>
      <c r="F112" s="2" t="s">
        <v>9</v>
      </c>
      <c r="K112" s="3" t="s">
        <v>301</v>
      </c>
      <c r="L112" s="19" t="s">
        <v>535</v>
      </c>
      <c r="M112" s="2">
        <v>45360.0</v>
      </c>
      <c r="AL112" s="19" t="str">
        <f>IFERROR(__xludf.DUMMYFUNCTION("""COMPUTED_VALUE"""),"HELPMATE INCORPORATED Total")</f>
        <v>HELPMATE INCORPORATED Total</v>
      </c>
      <c r="AM112" s="19"/>
      <c r="AN112" s="19">
        <f>IFERROR(__xludf.DUMMYFUNCTION("""COMPUTED_VALUE"""),1.0)</f>
        <v>1</v>
      </c>
      <c r="AP112" s="19" t="str">
        <f>IFERROR(__xludf.DUMMYFUNCTION("""COMPUTED_VALUE"""),"HELPMATE INCORPORATED Total")</f>
        <v>HELPMATE INCORPORATED Total</v>
      </c>
      <c r="AQ112" s="19"/>
      <c r="AR112" s="19">
        <f>IFERROR(__xludf.DUMMYFUNCTION("""COMPUTED_VALUE"""),1.0)</f>
        <v>1</v>
      </c>
    </row>
    <row r="113">
      <c r="A113" s="1" t="s">
        <v>303</v>
      </c>
      <c r="B113" s="38" t="s">
        <v>561</v>
      </c>
      <c r="C113" s="3" t="s">
        <v>66</v>
      </c>
      <c r="D113" s="39">
        <v>45321.0</v>
      </c>
      <c r="E113" s="2">
        <v>990.0</v>
      </c>
      <c r="F113" s="2" t="s">
        <v>13</v>
      </c>
      <c r="K113" s="3" t="s">
        <v>66</v>
      </c>
      <c r="L113" s="19" t="s">
        <v>535</v>
      </c>
      <c r="M113" s="2">
        <v>990.0</v>
      </c>
      <c r="AL113" s="19" t="str">
        <f>IFERROR(__xludf.DUMMYFUNCTION("""COMPUTED_VALUE"""),"HI5 SOLUTIONS OPC")</f>
        <v>HI5 SOLUTIONS OPC</v>
      </c>
      <c r="AM113" s="19" t="str">
        <f>IFERROR(__xludf.DUMMYFUNCTION("""COMPUTED_VALUE"""),"January")</f>
        <v>January</v>
      </c>
      <c r="AN113" s="19">
        <f>IFERROR(__xludf.DUMMYFUNCTION("""COMPUTED_VALUE"""),1.0)</f>
        <v>1</v>
      </c>
      <c r="AP113" s="19" t="str">
        <f>IFERROR(__xludf.DUMMYFUNCTION("""COMPUTED_VALUE"""),"HI5 SOLUTIONS OPC")</f>
        <v>HI5 SOLUTIONS OPC</v>
      </c>
      <c r="AQ113" s="19" t="str">
        <f>IFERROR(__xludf.DUMMYFUNCTION("""COMPUTED_VALUE"""),"January")</f>
        <v>January</v>
      </c>
      <c r="AR113" s="19">
        <f>IFERROR(__xludf.DUMMYFUNCTION("""COMPUTED_VALUE"""),1.0)</f>
        <v>1</v>
      </c>
    </row>
    <row r="114">
      <c r="A114" s="1" t="s">
        <v>305</v>
      </c>
      <c r="B114" s="38" t="s">
        <v>664</v>
      </c>
      <c r="C114" s="3" t="s">
        <v>306</v>
      </c>
      <c r="D114" s="39">
        <v>45321.0</v>
      </c>
      <c r="E114" s="2">
        <v>3305.0</v>
      </c>
      <c r="F114" s="2" t="s">
        <v>13</v>
      </c>
      <c r="K114" s="3" t="s">
        <v>306</v>
      </c>
      <c r="L114" s="19" t="s">
        <v>535</v>
      </c>
      <c r="M114" s="2">
        <v>3305.0</v>
      </c>
      <c r="AL114" s="19" t="str">
        <f>IFERROR(__xludf.DUMMYFUNCTION("""COMPUTED_VALUE"""),"HI5 SOLUTIONS OPC Total")</f>
        <v>HI5 SOLUTIONS OPC Total</v>
      </c>
      <c r="AM114" s="19"/>
      <c r="AN114" s="19">
        <f>IFERROR(__xludf.DUMMYFUNCTION("""COMPUTED_VALUE"""),1.0)</f>
        <v>1</v>
      </c>
      <c r="AP114" s="19" t="str">
        <f>IFERROR(__xludf.DUMMYFUNCTION("""COMPUTED_VALUE"""),"HI5 SOLUTIONS OPC Total")</f>
        <v>HI5 SOLUTIONS OPC Total</v>
      </c>
      <c r="AQ114" s="19"/>
      <c r="AR114" s="19">
        <f>IFERROR(__xludf.DUMMYFUNCTION("""COMPUTED_VALUE"""),1.0)</f>
        <v>1</v>
      </c>
    </row>
    <row r="115">
      <c r="A115" s="1" t="s">
        <v>308</v>
      </c>
      <c r="B115" s="38" t="s">
        <v>561</v>
      </c>
      <c r="C115" s="3" t="s">
        <v>66</v>
      </c>
      <c r="D115" s="39">
        <v>45321.0</v>
      </c>
      <c r="E115" s="2">
        <v>4807.0</v>
      </c>
      <c r="F115" s="2" t="s">
        <v>13</v>
      </c>
      <c r="K115" s="3" t="s">
        <v>66</v>
      </c>
      <c r="L115" s="19" t="s">
        <v>535</v>
      </c>
      <c r="M115" s="2">
        <v>4807.0</v>
      </c>
      <c r="AL115" s="19" t="str">
        <f>IFERROR(__xludf.DUMMYFUNCTION("""COMPUTED_VALUE"""),"IGACOS WATER DISTRICT")</f>
        <v>IGACOS WATER DISTRICT</v>
      </c>
      <c r="AM115" s="19" t="str">
        <f>IFERROR(__xludf.DUMMYFUNCTION("""COMPUTED_VALUE"""),"February")</f>
        <v>February</v>
      </c>
      <c r="AN115" s="19">
        <f>IFERROR(__xludf.DUMMYFUNCTION("""COMPUTED_VALUE"""),1.0)</f>
        <v>1</v>
      </c>
      <c r="AP115" s="19" t="str">
        <f>IFERROR(__xludf.DUMMYFUNCTION("""COMPUTED_VALUE"""),"IGACOS WATER DISTRICT")</f>
        <v>IGACOS WATER DISTRICT</v>
      </c>
      <c r="AQ115" s="19" t="str">
        <f>IFERROR(__xludf.DUMMYFUNCTION("""COMPUTED_VALUE"""),"February")</f>
        <v>February</v>
      </c>
      <c r="AR115" s="19">
        <f>IFERROR(__xludf.DUMMYFUNCTION("""COMPUTED_VALUE"""),1.0)</f>
        <v>1</v>
      </c>
    </row>
    <row r="116">
      <c r="A116" s="1" t="s">
        <v>310</v>
      </c>
      <c r="B116" s="38" t="s">
        <v>561</v>
      </c>
      <c r="C116" s="3" t="s">
        <v>66</v>
      </c>
      <c r="D116" s="39">
        <v>45321.0</v>
      </c>
      <c r="E116" s="2">
        <v>5732.0</v>
      </c>
      <c r="F116" s="2" t="s">
        <v>13</v>
      </c>
      <c r="K116" s="3" t="s">
        <v>66</v>
      </c>
      <c r="L116" s="19" t="s">
        <v>535</v>
      </c>
      <c r="M116" s="2">
        <v>5732.0</v>
      </c>
      <c r="AL116" s="19" t="str">
        <f>IFERROR(__xludf.DUMMYFUNCTION("""COMPUTED_VALUE"""),"IGACOS WATER DISTRICT Total")</f>
        <v>IGACOS WATER DISTRICT Total</v>
      </c>
      <c r="AM116" s="19"/>
      <c r="AN116" s="19">
        <f>IFERROR(__xludf.DUMMYFUNCTION("""COMPUTED_VALUE"""),1.0)</f>
        <v>1</v>
      </c>
      <c r="AP116" s="19" t="str">
        <f>IFERROR(__xludf.DUMMYFUNCTION("""COMPUTED_VALUE"""),"IGACOS WATER DISTRICT Total")</f>
        <v>IGACOS WATER DISTRICT Total</v>
      </c>
      <c r="AQ116" s="19"/>
      <c r="AR116" s="19">
        <f>IFERROR(__xludf.DUMMYFUNCTION("""COMPUTED_VALUE"""),1.0)</f>
        <v>1</v>
      </c>
    </row>
    <row r="117">
      <c r="A117" s="1" t="s">
        <v>312</v>
      </c>
      <c r="B117" s="38" t="s">
        <v>666</v>
      </c>
      <c r="C117" s="3" t="s">
        <v>313</v>
      </c>
      <c r="D117" s="39">
        <v>45321.0</v>
      </c>
      <c r="E117" s="2">
        <v>10990.0</v>
      </c>
      <c r="F117" s="2" t="s">
        <v>13</v>
      </c>
      <c r="K117" s="3" t="s">
        <v>313</v>
      </c>
      <c r="L117" s="19" t="s">
        <v>535</v>
      </c>
      <c r="M117" s="2">
        <v>10990.0</v>
      </c>
      <c r="AL117" s="19" t="str">
        <f>IFERROR(__xludf.DUMMYFUNCTION("""COMPUTED_VALUE"""),"INFIMAX HEALTH PRODUCTS")</f>
        <v>INFIMAX HEALTH PRODUCTS</v>
      </c>
      <c r="AM117" s="19" t="str">
        <f>IFERROR(__xludf.DUMMYFUNCTION("""COMPUTED_VALUE"""),"January")</f>
        <v>January</v>
      </c>
      <c r="AN117" s="19">
        <f>IFERROR(__xludf.DUMMYFUNCTION("""COMPUTED_VALUE"""),1.0)</f>
        <v>1</v>
      </c>
      <c r="AP117" s="19" t="str">
        <f>IFERROR(__xludf.DUMMYFUNCTION("""COMPUTED_VALUE"""),"INFIMAX HEALTH PRODUCTS")</f>
        <v>INFIMAX HEALTH PRODUCTS</v>
      </c>
      <c r="AQ117" s="19" t="str">
        <f>IFERROR(__xludf.DUMMYFUNCTION("""COMPUTED_VALUE"""),"January")</f>
        <v>January</v>
      </c>
      <c r="AR117" s="19">
        <f>IFERROR(__xludf.DUMMYFUNCTION("""COMPUTED_VALUE"""),1.0)</f>
        <v>1</v>
      </c>
    </row>
    <row r="118">
      <c r="A118" s="1" t="s">
        <v>315</v>
      </c>
      <c r="B118" s="38" t="s">
        <v>668</v>
      </c>
      <c r="C118" s="3" t="s">
        <v>316</v>
      </c>
      <c r="D118" s="39">
        <v>45322.0</v>
      </c>
      <c r="E118" s="2">
        <v>4236.55</v>
      </c>
      <c r="F118" s="2" t="s">
        <v>13</v>
      </c>
      <c r="K118" s="3" t="s">
        <v>316</v>
      </c>
      <c r="L118" s="19" t="s">
        <v>535</v>
      </c>
      <c r="M118" s="2">
        <v>4236.55</v>
      </c>
      <c r="AL118" s="19" t="str">
        <f>IFERROR(__xludf.DUMMYFUNCTION("""COMPUTED_VALUE"""),"INFIMAX HEALTH PRODUCTS Total")</f>
        <v>INFIMAX HEALTH PRODUCTS Total</v>
      </c>
      <c r="AM118" s="19"/>
      <c r="AN118" s="19">
        <f>IFERROR(__xludf.DUMMYFUNCTION("""COMPUTED_VALUE"""),1.0)</f>
        <v>1</v>
      </c>
      <c r="AP118" s="19" t="str">
        <f>IFERROR(__xludf.DUMMYFUNCTION("""COMPUTED_VALUE"""),"INFIMAX HEALTH PRODUCTS Total")</f>
        <v>INFIMAX HEALTH PRODUCTS Total</v>
      </c>
      <c r="AQ118" s="19"/>
      <c r="AR118" s="19">
        <f>IFERROR(__xludf.DUMMYFUNCTION("""COMPUTED_VALUE"""),1.0)</f>
        <v>1</v>
      </c>
    </row>
    <row r="119">
      <c r="A119" s="1" t="s">
        <v>318</v>
      </c>
      <c r="B119" s="38" t="s">
        <v>537</v>
      </c>
      <c r="C119" s="3" t="s">
        <v>15</v>
      </c>
      <c r="D119" s="39">
        <v>45322.0</v>
      </c>
      <c r="E119" s="2">
        <v>7140.0</v>
      </c>
      <c r="F119" s="2" t="s">
        <v>13</v>
      </c>
      <c r="K119" s="3" t="s">
        <v>15</v>
      </c>
      <c r="L119" s="19" t="s">
        <v>535</v>
      </c>
      <c r="M119" s="2">
        <v>7140.0</v>
      </c>
      <c r="AL119" s="19" t="str">
        <f>IFERROR(__xludf.DUMMYFUNCTION("""COMPUTED_VALUE"""),"INNOBUILDTEK DEVELOPMENT INC")</f>
        <v>INNOBUILDTEK DEVELOPMENT INC</v>
      </c>
      <c r="AM119" s="19" t="str">
        <f>IFERROR(__xludf.DUMMYFUNCTION("""COMPUTED_VALUE"""),"February")</f>
        <v>February</v>
      </c>
      <c r="AN119" s="19">
        <f>IFERROR(__xludf.DUMMYFUNCTION("""COMPUTED_VALUE"""),1.0)</f>
        <v>1</v>
      </c>
      <c r="AP119" s="19" t="str">
        <f>IFERROR(__xludf.DUMMYFUNCTION("""COMPUTED_VALUE"""),"INNOBUILDTEK DEVELOPMENT INC")</f>
        <v>INNOBUILDTEK DEVELOPMENT INC</v>
      </c>
      <c r="AQ119" s="19" t="str">
        <f>IFERROR(__xludf.DUMMYFUNCTION("""COMPUTED_VALUE"""),"February")</f>
        <v>February</v>
      </c>
      <c r="AR119" s="19">
        <f>IFERROR(__xludf.DUMMYFUNCTION("""COMPUTED_VALUE"""),1.0)</f>
        <v>1</v>
      </c>
    </row>
    <row r="120">
      <c r="A120" s="1" t="s">
        <v>320</v>
      </c>
      <c r="B120" s="38" t="s">
        <v>669</v>
      </c>
      <c r="C120" s="3" t="s">
        <v>321</v>
      </c>
      <c r="D120" s="39">
        <v>45322.0</v>
      </c>
      <c r="E120" s="2">
        <v>365925.0</v>
      </c>
      <c r="F120" s="2" t="s">
        <v>13</v>
      </c>
      <c r="K120" s="3" t="s">
        <v>321</v>
      </c>
      <c r="L120" s="19" t="s">
        <v>535</v>
      </c>
      <c r="M120" s="2">
        <v>365925.0</v>
      </c>
      <c r="AL120" s="19"/>
      <c r="AM120" s="19" t="str">
        <f>IFERROR(__xludf.DUMMYFUNCTION("""COMPUTED_VALUE"""),"January")</f>
        <v>January</v>
      </c>
      <c r="AN120" s="19">
        <f>IFERROR(__xludf.DUMMYFUNCTION("""COMPUTED_VALUE"""),2.0)</f>
        <v>2</v>
      </c>
      <c r="AP120" s="19"/>
      <c r="AQ120" s="19" t="str">
        <f>IFERROR(__xludf.DUMMYFUNCTION("""COMPUTED_VALUE"""),"January")</f>
        <v>January</v>
      </c>
      <c r="AR120" s="19">
        <f>IFERROR(__xludf.DUMMYFUNCTION("""COMPUTED_VALUE"""),2.0)</f>
        <v>2</v>
      </c>
    </row>
    <row r="121">
      <c r="A121" s="1" t="s">
        <v>323</v>
      </c>
      <c r="B121" s="38" t="s">
        <v>600</v>
      </c>
      <c r="C121" s="3" t="s">
        <v>160</v>
      </c>
      <c r="D121" s="39">
        <v>45323.0</v>
      </c>
      <c r="E121" s="2">
        <v>227.0</v>
      </c>
      <c r="F121" s="2" t="s">
        <v>13</v>
      </c>
      <c r="K121" s="3" t="s">
        <v>160</v>
      </c>
      <c r="L121" s="19" t="s">
        <v>533</v>
      </c>
      <c r="M121" s="2">
        <v>227.0</v>
      </c>
      <c r="AL121" s="19" t="str">
        <f>IFERROR(__xludf.DUMMYFUNCTION("""COMPUTED_VALUE"""),"INNOBUILDTEK DEVELOPMENT INC Total")</f>
        <v>INNOBUILDTEK DEVELOPMENT INC Total</v>
      </c>
      <c r="AM121" s="19"/>
      <c r="AN121" s="19">
        <f>IFERROR(__xludf.DUMMYFUNCTION("""COMPUTED_VALUE"""),3.0)</f>
        <v>3</v>
      </c>
      <c r="AP121" s="19" t="str">
        <f>IFERROR(__xludf.DUMMYFUNCTION("""COMPUTED_VALUE"""),"INNOBUILDTEK DEVELOPMENT INC Total")</f>
        <v>INNOBUILDTEK DEVELOPMENT INC Total</v>
      </c>
      <c r="AQ121" s="19"/>
      <c r="AR121" s="19">
        <f>IFERROR(__xludf.DUMMYFUNCTION("""COMPUTED_VALUE"""),3.0)</f>
        <v>3</v>
      </c>
    </row>
    <row r="122">
      <c r="A122" s="1" t="s">
        <v>325</v>
      </c>
      <c r="B122" s="38" t="s">
        <v>671</v>
      </c>
      <c r="C122" s="3" t="s">
        <v>326</v>
      </c>
      <c r="D122" s="39">
        <v>45323.0</v>
      </c>
      <c r="E122" s="2">
        <v>1537.2</v>
      </c>
      <c r="F122" s="2" t="s">
        <v>13</v>
      </c>
      <c r="K122" s="3" t="s">
        <v>326</v>
      </c>
      <c r="L122" s="19" t="s">
        <v>533</v>
      </c>
      <c r="M122" s="2">
        <v>1537.2</v>
      </c>
      <c r="AL122" s="19" t="str">
        <f>IFERROR(__xludf.DUMMYFUNCTION("""COMPUTED_VALUE"""),"INSULAR OIL CORPORATION")</f>
        <v>INSULAR OIL CORPORATION</v>
      </c>
      <c r="AM122" s="19" t="str">
        <f>IFERROR(__xludf.DUMMYFUNCTION("""COMPUTED_VALUE"""),"January")</f>
        <v>January</v>
      </c>
      <c r="AN122" s="19">
        <f>IFERROR(__xludf.DUMMYFUNCTION("""COMPUTED_VALUE"""),1.0)</f>
        <v>1</v>
      </c>
      <c r="AP122" s="19" t="str">
        <f>IFERROR(__xludf.DUMMYFUNCTION("""COMPUTED_VALUE"""),"INSULAR OIL CORPORATION")</f>
        <v>INSULAR OIL CORPORATION</v>
      </c>
      <c r="AQ122" s="19" t="str">
        <f>IFERROR(__xludf.DUMMYFUNCTION("""COMPUTED_VALUE"""),"January")</f>
        <v>January</v>
      </c>
      <c r="AR122" s="19">
        <f>IFERROR(__xludf.DUMMYFUNCTION("""COMPUTED_VALUE"""),1.0)</f>
        <v>1</v>
      </c>
    </row>
    <row r="123">
      <c r="A123" s="1" t="s">
        <v>328</v>
      </c>
      <c r="B123" s="38" t="s">
        <v>600</v>
      </c>
      <c r="C123" s="3" t="s">
        <v>160</v>
      </c>
      <c r="D123" s="39">
        <v>45323.0</v>
      </c>
      <c r="E123" s="2">
        <v>3157.0</v>
      </c>
      <c r="F123" s="2" t="s">
        <v>13</v>
      </c>
      <c r="K123" s="3" t="s">
        <v>160</v>
      </c>
      <c r="L123" s="19" t="s">
        <v>533</v>
      </c>
      <c r="M123" s="2">
        <v>3157.0</v>
      </c>
      <c r="AL123" s="19" t="str">
        <f>IFERROR(__xludf.DUMMYFUNCTION("""COMPUTED_VALUE"""),"INSULAR OIL CORPORATION Total")</f>
        <v>INSULAR OIL CORPORATION Total</v>
      </c>
      <c r="AM123" s="19"/>
      <c r="AN123" s="19">
        <f>IFERROR(__xludf.DUMMYFUNCTION("""COMPUTED_VALUE"""),1.0)</f>
        <v>1</v>
      </c>
      <c r="AP123" s="19" t="str">
        <f>IFERROR(__xludf.DUMMYFUNCTION("""COMPUTED_VALUE"""),"INSULAR OIL CORPORATION Total")</f>
        <v>INSULAR OIL CORPORATION Total</v>
      </c>
      <c r="AQ123" s="19"/>
      <c r="AR123" s="19">
        <f>IFERROR(__xludf.DUMMYFUNCTION("""COMPUTED_VALUE"""),1.0)</f>
        <v>1</v>
      </c>
    </row>
    <row r="124">
      <c r="A124" s="1" t="s">
        <v>330</v>
      </c>
      <c r="B124" s="38" t="s">
        <v>573</v>
      </c>
      <c r="C124" s="3" t="s">
        <v>93</v>
      </c>
      <c r="D124" s="39">
        <v>45323.0</v>
      </c>
      <c r="E124" s="2">
        <v>6180.5</v>
      </c>
      <c r="F124" s="2" t="s">
        <v>13</v>
      </c>
      <c r="K124" s="3" t="s">
        <v>93</v>
      </c>
      <c r="L124" s="19" t="s">
        <v>533</v>
      </c>
      <c r="M124" s="2">
        <v>6180.5</v>
      </c>
      <c r="AL124" s="19" t="str">
        <f>IFERROR(__xludf.DUMMYFUNCTION("""COMPUTED_VALUE"""),"INSURANCE COMMISSION")</f>
        <v>INSURANCE COMMISSION</v>
      </c>
      <c r="AM124" s="19" t="str">
        <f>IFERROR(__xludf.DUMMYFUNCTION("""COMPUTED_VALUE"""),"January")</f>
        <v>January</v>
      </c>
      <c r="AN124" s="19">
        <f>IFERROR(__xludf.DUMMYFUNCTION("""COMPUTED_VALUE"""),1.0)</f>
        <v>1</v>
      </c>
      <c r="AP124" s="19" t="str">
        <f>IFERROR(__xludf.DUMMYFUNCTION("""COMPUTED_VALUE"""),"INSURANCE COMMISSION")</f>
        <v>INSURANCE COMMISSION</v>
      </c>
      <c r="AQ124" s="19" t="str">
        <f>IFERROR(__xludf.DUMMYFUNCTION("""COMPUTED_VALUE"""),"January")</f>
        <v>January</v>
      </c>
      <c r="AR124" s="19">
        <f>IFERROR(__xludf.DUMMYFUNCTION("""COMPUTED_VALUE"""),1.0)</f>
        <v>1</v>
      </c>
    </row>
    <row r="125">
      <c r="A125" s="1" t="s">
        <v>332</v>
      </c>
      <c r="B125" s="38" t="s">
        <v>674</v>
      </c>
      <c r="C125" s="3" t="s">
        <v>333</v>
      </c>
      <c r="D125" s="39">
        <v>45323.0</v>
      </c>
      <c r="E125" s="2">
        <v>12195.8</v>
      </c>
      <c r="F125" s="2" t="s">
        <v>13</v>
      </c>
      <c r="K125" s="3" t="s">
        <v>333</v>
      </c>
      <c r="L125" s="19" t="s">
        <v>533</v>
      </c>
      <c r="M125" s="2">
        <v>12195.8</v>
      </c>
      <c r="AL125" s="19" t="str">
        <f>IFERROR(__xludf.DUMMYFUNCTION("""COMPUTED_VALUE"""),"INSURANCE COMMISSION Total")</f>
        <v>INSURANCE COMMISSION Total</v>
      </c>
      <c r="AM125" s="19"/>
      <c r="AN125" s="19">
        <f>IFERROR(__xludf.DUMMYFUNCTION("""COMPUTED_VALUE"""),1.0)</f>
        <v>1</v>
      </c>
      <c r="AP125" s="19" t="str">
        <f>IFERROR(__xludf.DUMMYFUNCTION("""COMPUTED_VALUE"""),"INSURANCE COMMISSION Total")</f>
        <v>INSURANCE COMMISSION Total</v>
      </c>
      <c r="AQ125" s="19"/>
      <c r="AR125" s="19">
        <f>IFERROR(__xludf.DUMMYFUNCTION("""COMPUTED_VALUE"""),1.0)</f>
        <v>1</v>
      </c>
    </row>
    <row r="126">
      <c r="A126" s="1" t="s">
        <v>335</v>
      </c>
      <c r="B126" s="38" t="s">
        <v>675</v>
      </c>
      <c r="C126" s="3" t="s">
        <v>336</v>
      </c>
      <c r="D126" s="39">
        <v>45323.0</v>
      </c>
      <c r="E126" s="2">
        <v>45360.0</v>
      </c>
      <c r="F126" s="2" t="s">
        <v>9</v>
      </c>
      <c r="K126" s="3" t="s">
        <v>336</v>
      </c>
      <c r="L126" s="19" t="s">
        <v>533</v>
      </c>
      <c r="M126" s="2">
        <v>45360.0</v>
      </c>
      <c r="AL126" s="19" t="str">
        <f>IFERROR(__xludf.DUMMYFUNCTION("""COMPUTED_VALUE"""),"IVN ENTERPRISES")</f>
        <v>IVN ENTERPRISES</v>
      </c>
      <c r="AM126" s="19" t="str">
        <f>IFERROR(__xludf.DUMMYFUNCTION("""COMPUTED_VALUE"""),"February")</f>
        <v>February</v>
      </c>
      <c r="AN126" s="19">
        <f>IFERROR(__xludf.DUMMYFUNCTION("""COMPUTED_VALUE"""),1.0)</f>
        <v>1</v>
      </c>
      <c r="AP126" s="19" t="str">
        <f>IFERROR(__xludf.DUMMYFUNCTION("""COMPUTED_VALUE"""),"IVN ENTERPRISES")</f>
        <v>IVN ENTERPRISES</v>
      </c>
      <c r="AQ126" s="19" t="str">
        <f>IFERROR(__xludf.DUMMYFUNCTION("""COMPUTED_VALUE"""),"February")</f>
        <v>February</v>
      </c>
      <c r="AR126" s="19">
        <f>IFERROR(__xludf.DUMMYFUNCTION("""COMPUTED_VALUE"""),1.0)</f>
        <v>1</v>
      </c>
    </row>
    <row r="127">
      <c r="A127" s="1" t="s">
        <v>337</v>
      </c>
      <c r="B127" s="38" t="s">
        <v>676</v>
      </c>
      <c r="C127" s="3" t="s">
        <v>338</v>
      </c>
      <c r="D127" s="39">
        <v>45324.0</v>
      </c>
      <c r="E127" s="2">
        <v>1080.0</v>
      </c>
      <c r="F127" s="2" t="s">
        <v>9</v>
      </c>
      <c r="K127" s="3" t="s">
        <v>338</v>
      </c>
      <c r="L127" s="19" t="s">
        <v>533</v>
      </c>
      <c r="M127" s="2">
        <v>1080.0</v>
      </c>
      <c r="AL127" s="19"/>
      <c r="AM127" s="19" t="str">
        <f>IFERROR(__xludf.DUMMYFUNCTION("""COMPUTED_VALUE"""),"January")</f>
        <v>January</v>
      </c>
      <c r="AN127" s="19">
        <f>IFERROR(__xludf.DUMMYFUNCTION("""COMPUTED_VALUE"""),1.0)</f>
        <v>1</v>
      </c>
      <c r="AP127" s="19"/>
      <c r="AQ127" s="19" t="str">
        <f>IFERROR(__xludf.DUMMYFUNCTION("""COMPUTED_VALUE"""),"January")</f>
        <v>January</v>
      </c>
      <c r="AR127" s="19">
        <f>IFERROR(__xludf.DUMMYFUNCTION("""COMPUTED_VALUE"""),1.0)</f>
        <v>1</v>
      </c>
    </row>
    <row r="128">
      <c r="A128" s="1" t="s">
        <v>340</v>
      </c>
      <c r="B128" s="38" t="s">
        <v>537</v>
      </c>
      <c r="C128" s="3" t="s">
        <v>15</v>
      </c>
      <c r="D128" s="39">
        <v>45324.0</v>
      </c>
      <c r="E128" s="2">
        <v>12300.0</v>
      </c>
      <c r="F128" s="2" t="s">
        <v>13</v>
      </c>
      <c r="K128" s="3" t="s">
        <v>15</v>
      </c>
      <c r="L128" s="19" t="s">
        <v>533</v>
      </c>
      <c r="M128" s="2">
        <v>12300.0</v>
      </c>
      <c r="AL128" s="19" t="str">
        <f>IFERROR(__xludf.DUMMYFUNCTION("""COMPUTED_VALUE"""),"IVN ENTERPRISES Total")</f>
        <v>IVN ENTERPRISES Total</v>
      </c>
      <c r="AM128" s="19"/>
      <c r="AN128" s="19">
        <f>IFERROR(__xludf.DUMMYFUNCTION("""COMPUTED_VALUE"""),2.0)</f>
        <v>2</v>
      </c>
      <c r="AP128" s="19" t="str">
        <f>IFERROR(__xludf.DUMMYFUNCTION("""COMPUTED_VALUE"""),"IVN ENTERPRISES Total")</f>
        <v>IVN ENTERPRISES Total</v>
      </c>
      <c r="AQ128" s="19"/>
      <c r="AR128" s="19">
        <f>IFERROR(__xludf.DUMMYFUNCTION("""COMPUTED_VALUE"""),2.0)</f>
        <v>2</v>
      </c>
    </row>
    <row r="129">
      <c r="A129" s="1" t="s">
        <v>341</v>
      </c>
      <c r="B129" s="38" t="s">
        <v>678</v>
      </c>
      <c r="C129" s="3" t="s">
        <v>342</v>
      </c>
      <c r="D129" s="39">
        <v>45324.0</v>
      </c>
      <c r="E129" s="2">
        <v>20494.75</v>
      </c>
      <c r="F129" s="2" t="s">
        <v>13</v>
      </c>
      <c r="K129" s="3" t="s">
        <v>342</v>
      </c>
      <c r="L129" s="19" t="s">
        <v>533</v>
      </c>
      <c r="M129" s="2">
        <v>20494.75</v>
      </c>
      <c r="AL129" s="19" t="str">
        <f>IFERROR(__xludf.DUMMYFUNCTION("""COMPUTED_VALUE"""),"JATHNIER CORPORATION")</f>
        <v>JATHNIER CORPORATION</v>
      </c>
      <c r="AM129" s="19" t="str">
        <f>IFERROR(__xludf.DUMMYFUNCTION("""COMPUTED_VALUE"""),"January")</f>
        <v>January</v>
      </c>
      <c r="AN129" s="19">
        <f>IFERROR(__xludf.DUMMYFUNCTION("""COMPUTED_VALUE"""),1.0)</f>
        <v>1</v>
      </c>
      <c r="AP129" s="19" t="str">
        <f>IFERROR(__xludf.DUMMYFUNCTION("""COMPUTED_VALUE"""),"JATHNIER CORPORATION")</f>
        <v>JATHNIER CORPORATION</v>
      </c>
      <c r="AQ129" s="19" t="str">
        <f>IFERROR(__xludf.DUMMYFUNCTION("""COMPUTED_VALUE"""),"January")</f>
        <v>January</v>
      </c>
      <c r="AR129" s="19">
        <f>IFERROR(__xludf.DUMMYFUNCTION("""COMPUTED_VALUE"""),1.0)</f>
        <v>1</v>
      </c>
    </row>
    <row r="130">
      <c r="A130" s="1" t="s">
        <v>344</v>
      </c>
      <c r="B130" s="38" t="s">
        <v>680</v>
      </c>
      <c r="C130" s="3" t="s">
        <v>345</v>
      </c>
      <c r="D130" s="39">
        <v>45324.0</v>
      </c>
      <c r="E130" s="2">
        <v>50228.0</v>
      </c>
      <c r="F130" s="2" t="s">
        <v>9</v>
      </c>
      <c r="K130" s="3" t="s">
        <v>345</v>
      </c>
      <c r="L130" s="19" t="s">
        <v>533</v>
      </c>
      <c r="M130" s="2">
        <v>50228.0</v>
      </c>
      <c r="AL130" s="19" t="str">
        <f>IFERROR(__xludf.DUMMYFUNCTION("""COMPUTED_VALUE"""),"JATHNIER CORPORATION Total")</f>
        <v>JATHNIER CORPORATION Total</v>
      </c>
      <c r="AM130" s="19"/>
      <c r="AN130" s="19">
        <f>IFERROR(__xludf.DUMMYFUNCTION("""COMPUTED_VALUE"""),1.0)</f>
        <v>1</v>
      </c>
      <c r="AP130" s="19" t="str">
        <f>IFERROR(__xludf.DUMMYFUNCTION("""COMPUTED_VALUE"""),"JATHNIER CORPORATION Total")</f>
        <v>JATHNIER CORPORATION Total</v>
      </c>
      <c r="AQ130" s="19"/>
      <c r="AR130" s="19">
        <f>IFERROR(__xludf.DUMMYFUNCTION("""COMPUTED_VALUE"""),1.0)</f>
        <v>1</v>
      </c>
    </row>
    <row r="131">
      <c r="A131" s="1" t="s">
        <v>347</v>
      </c>
      <c r="B131" s="38" t="s">
        <v>681</v>
      </c>
      <c r="C131" s="3" t="s">
        <v>348</v>
      </c>
      <c r="D131" s="39">
        <v>45325.0</v>
      </c>
      <c r="E131" s="2">
        <v>1292.3</v>
      </c>
      <c r="F131" s="2" t="s">
        <v>13</v>
      </c>
      <c r="K131" s="3" t="s">
        <v>348</v>
      </c>
      <c r="L131" s="19" t="s">
        <v>533</v>
      </c>
      <c r="M131" s="2">
        <v>1292.3</v>
      </c>
      <c r="AL131" s="19" t="str">
        <f>IFERROR(__xludf.DUMMYFUNCTION("""COMPUTED_VALUE"""),"JEWM AGRO-INDUSTRIAL CORPORATION")</f>
        <v>JEWM AGRO-INDUSTRIAL CORPORATION</v>
      </c>
      <c r="AM131" s="19" t="str">
        <f>IFERROR(__xludf.DUMMYFUNCTION("""COMPUTED_VALUE"""),"January")</f>
        <v>January</v>
      </c>
      <c r="AN131" s="19">
        <f>IFERROR(__xludf.DUMMYFUNCTION("""COMPUTED_VALUE"""),1.0)</f>
        <v>1</v>
      </c>
      <c r="AP131" s="19" t="str">
        <f>IFERROR(__xludf.DUMMYFUNCTION("""COMPUTED_VALUE"""),"JEWM AGRO-INDUSTRIAL CORPORATION")</f>
        <v>JEWM AGRO-INDUSTRIAL CORPORATION</v>
      </c>
      <c r="AQ131" s="19" t="str">
        <f>IFERROR(__xludf.DUMMYFUNCTION("""COMPUTED_VALUE"""),"January")</f>
        <v>January</v>
      </c>
      <c r="AR131" s="19">
        <f>IFERROR(__xludf.DUMMYFUNCTION("""COMPUTED_VALUE"""),1.0)</f>
        <v>1</v>
      </c>
    </row>
    <row r="132">
      <c r="A132" s="1" t="s">
        <v>350</v>
      </c>
      <c r="B132" s="38" t="s">
        <v>537</v>
      </c>
      <c r="C132" s="3" t="s">
        <v>15</v>
      </c>
      <c r="D132" s="39">
        <v>45325.0</v>
      </c>
      <c r="E132" s="2">
        <v>1305.0</v>
      </c>
      <c r="F132" s="2" t="s">
        <v>13</v>
      </c>
      <c r="K132" s="3" t="s">
        <v>15</v>
      </c>
      <c r="L132" s="19" t="s">
        <v>533</v>
      </c>
      <c r="M132" s="2">
        <v>1305.0</v>
      </c>
      <c r="AL132" s="19" t="str">
        <f>IFERROR(__xludf.DUMMYFUNCTION("""COMPUTED_VALUE"""),"JEWM AGRO-INDUSTRIAL CORPORATION Total")</f>
        <v>JEWM AGRO-INDUSTRIAL CORPORATION Total</v>
      </c>
      <c r="AM132" s="19"/>
      <c r="AN132" s="19">
        <f>IFERROR(__xludf.DUMMYFUNCTION("""COMPUTED_VALUE"""),1.0)</f>
        <v>1</v>
      </c>
      <c r="AP132" s="19" t="str">
        <f>IFERROR(__xludf.DUMMYFUNCTION("""COMPUTED_VALUE"""),"JEWM AGRO-INDUSTRIAL CORPORATION Total")</f>
        <v>JEWM AGRO-INDUSTRIAL CORPORATION Total</v>
      </c>
      <c r="AQ132" s="19"/>
      <c r="AR132" s="19">
        <f>IFERROR(__xludf.DUMMYFUNCTION("""COMPUTED_VALUE"""),1.0)</f>
        <v>1</v>
      </c>
    </row>
    <row r="133">
      <c r="A133" s="1" t="s">
        <v>352</v>
      </c>
      <c r="B133" s="38" t="s">
        <v>611</v>
      </c>
      <c r="C133" s="3" t="s">
        <v>181</v>
      </c>
      <c r="D133" s="39">
        <v>45325.0</v>
      </c>
      <c r="E133" s="2">
        <v>14750.0</v>
      </c>
      <c r="F133" s="2" t="s">
        <v>13</v>
      </c>
      <c r="K133" s="3" t="s">
        <v>181</v>
      </c>
      <c r="L133" s="19" t="s">
        <v>533</v>
      </c>
      <c r="M133" s="2">
        <v>14750.0</v>
      </c>
      <c r="AL133" s="19" t="str">
        <f>IFERROR(__xludf.DUMMYFUNCTION("""COMPUTED_VALUE"""),"JLP DESIGN")</f>
        <v>JLP DESIGN</v>
      </c>
      <c r="AM133" s="19" t="str">
        <f>IFERROR(__xludf.DUMMYFUNCTION("""COMPUTED_VALUE"""),"January")</f>
        <v>January</v>
      </c>
      <c r="AN133" s="19">
        <f>IFERROR(__xludf.DUMMYFUNCTION("""COMPUTED_VALUE"""),1.0)</f>
        <v>1</v>
      </c>
      <c r="AP133" s="19" t="str">
        <f>IFERROR(__xludf.DUMMYFUNCTION("""COMPUTED_VALUE"""),"JLP DESIGN")</f>
        <v>JLP DESIGN</v>
      </c>
      <c r="AQ133" s="19" t="str">
        <f>IFERROR(__xludf.DUMMYFUNCTION("""COMPUTED_VALUE"""),"January")</f>
        <v>January</v>
      </c>
      <c r="AR133" s="19">
        <f>IFERROR(__xludf.DUMMYFUNCTION("""COMPUTED_VALUE"""),1.0)</f>
        <v>1</v>
      </c>
    </row>
    <row r="134">
      <c r="A134" s="1" t="s">
        <v>354</v>
      </c>
      <c r="B134" s="38" t="s">
        <v>555</v>
      </c>
      <c r="C134" s="3" t="s">
        <v>52</v>
      </c>
      <c r="D134" s="39">
        <v>45327.0</v>
      </c>
      <c r="E134" s="2">
        <v>1700.0</v>
      </c>
      <c r="F134" s="2" t="s">
        <v>9</v>
      </c>
      <c r="K134" s="3" t="s">
        <v>52</v>
      </c>
      <c r="L134" s="19" t="s">
        <v>533</v>
      </c>
      <c r="M134" s="2">
        <v>1700.0</v>
      </c>
      <c r="AL134" s="19" t="str">
        <f>IFERROR(__xludf.DUMMYFUNCTION("""COMPUTED_VALUE"""),"JLP DESIGN Total")</f>
        <v>JLP DESIGN Total</v>
      </c>
      <c r="AM134" s="19"/>
      <c r="AN134" s="19">
        <f>IFERROR(__xludf.DUMMYFUNCTION("""COMPUTED_VALUE"""),1.0)</f>
        <v>1</v>
      </c>
      <c r="AP134" s="19" t="str">
        <f>IFERROR(__xludf.DUMMYFUNCTION("""COMPUTED_VALUE"""),"JLP DESIGN Total")</f>
        <v>JLP DESIGN Total</v>
      </c>
      <c r="AQ134" s="19"/>
      <c r="AR134" s="19">
        <f>IFERROR(__xludf.DUMMYFUNCTION("""COMPUTED_VALUE"""),1.0)</f>
        <v>1</v>
      </c>
    </row>
    <row r="135">
      <c r="A135" s="1" t="s">
        <v>356</v>
      </c>
      <c r="B135" s="38" t="s">
        <v>596</v>
      </c>
      <c r="C135" s="3" t="s">
        <v>148</v>
      </c>
      <c r="D135" s="39">
        <v>45327.0</v>
      </c>
      <c r="E135" s="2">
        <v>2196.0</v>
      </c>
      <c r="F135" s="2" t="s">
        <v>13</v>
      </c>
      <c r="K135" s="3" t="s">
        <v>148</v>
      </c>
      <c r="L135" s="19" t="s">
        <v>533</v>
      </c>
      <c r="M135" s="2">
        <v>2196.0</v>
      </c>
      <c r="AL135" s="19" t="str">
        <f>IFERROR(__xludf.DUMMYFUNCTION("""COMPUTED_VALUE"""),"KABACAN WATER DISTRICT")</f>
        <v>KABACAN WATER DISTRICT</v>
      </c>
      <c r="AM135" s="19" t="str">
        <f>IFERROR(__xludf.DUMMYFUNCTION("""COMPUTED_VALUE"""),"February")</f>
        <v>February</v>
      </c>
      <c r="AN135" s="19">
        <f>IFERROR(__xludf.DUMMYFUNCTION("""COMPUTED_VALUE"""),1.0)</f>
        <v>1</v>
      </c>
      <c r="AP135" s="19" t="str">
        <f>IFERROR(__xludf.DUMMYFUNCTION("""COMPUTED_VALUE"""),"KABACAN WATER DISTRICT")</f>
        <v>KABACAN WATER DISTRICT</v>
      </c>
      <c r="AQ135" s="19" t="str">
        <f>IFERROR(__xludf.DUMMYFUNCTION("""COMPUTED_VALUE"""),"February")</f>
        <v>February</v>
      </c>
      <c r="AR135" s="19">
        <f>IFERROR(__xludf.DUMMYFUNCTION("""COMPUTED_VALUE"""),1.0)</f>
        <v>1</v>
      </c>
    </row>
    <row r="136">
      <c r="A136" s="1" t="s">
        <v>358</v>
      </c>
      <c r="B136" s="38" t="s">
        <v>685</v>
      </c>
      <c r="C136" s="3" t="s">
        <v>359</v>
      </c>
      <c r="D136" s="39">
        <v>45327.0</v>
      </c>
      <c r="E136" s="2">
        <v>2404.5</v>
      </c>
      <c r="F136" s="2" t="s">
        <v>9</v>
      </c>
      <c r="K136" s="3" t="s">
        <v>359</v>
      </c>
      <c r="L136" s="19" t="s">
        <v>533</v>
      </c>
      <c r="M136" s="2">
        <v>2404.5</v>
      </c>
      <c r="AL136" s="19" t="str">
        <f>IFERROR(__xludf.DUMMYFUNCTION("""COMPUTED_VALUE"""),"KABACAN WATER DISTRICT Total")</f>
        <v>KABACAN WATER DISTRICT Total</v>
      </c>
      <c r="AM136" s="19"/>
      <c r="AN136" s="19">
        <f>IFERROR(__xludf.DUMMYFUNCTION("""COMPUTED_VALUE"""),1.0)</f>
        <v>1</v>
      </c>
      <c r="AP136" s="19" t="str">
        <f>IFERROR(__xludf.DUMMYFUNCTION("""COMPUTED_VALUE"""),"KABACAN WATER DISTRICT Total")</f>
        <v>KABACAN WATER DISTRICT Total</v>
      </c>
      <c r="AQ136" s="19"/>
      <c r="AR136" s="19">
        <f>IFERROR(__xludf.DUMMYFUNCTION("""COMPUTED_VALUE"""),1.0)</f>
        <v>1</v>
      </c>
    </row>
    <row r="137">
      <c r="A137" s="1" t="s">
        <v>361</v>
      </c>
      <c r="B137" s="38" t="s">
        <v>686</v>
      </c>
      <c r="C137" s="3" t="s">
        <v>362</v>
      </c>
      <c r="D137" s="39">
        <v>45327.0</v>
      </c>
      <c r="E137" s="2">
        <v>2850.0</v>
      </c>
      <c r="F137" s="2" t="s">
        <v>13</v>
      </c>
      <c r="K137" s="3" t="s">
        <v>362</v>
      </c>
      <c r="L137" s="19" t="s">
        <v>533</v>
      </c>
      <c r="M137" s="2">
        <v>2850.0</v>
      </c>
      <c r="AL137" s="19" t="str">
        <f>IFERROR(__xludf.DUMMYFUNCTION("""COMPUTED_VALUE"""),"KALINGAP PHARMACY")</f>
        <v>KALINGAP PHARMACY</v>
      </c>
      <c r="AM137" s="19" t="str">
        <f>IFERROR(__xludf.DUMMYFUNCTION("""COMPUTED_VALUE"""),"January")</f>
        <v>January</v>
      </c>
      <c r="AN137" s="19">
        <f>IFERROR(__xludf.DUMMYFUNCTION("""COMPUTED_VALUE"""),1.0)</f>
        <v>1</v>
      </c>
      <c r="AP137" s="19" t="str">
        <f>IFERROR(__xludf.DUMMYFUNCTION("""COMPUTED_VALUE"""),"KALINGAP PHARMACY")</f>
        <v>KALINGAP PHARMACY</v>
      </c>
      <c r="AQ137" s="19" t="str">
        <f>IFERROR(__xludf.DUMMYFUNCTION("""COMPUTED_VALUE"""),"January")</f>
        <v>January</v>
      </c>
      <c r="AR137" s="19">
        <f>IFERROR(__xludf.DUMMYFUNCTION("""COMPUTED_VALUE"""),1.0)</f>
        <v>1</v>
      </c>
    </row>
    <row r="138">
      <c r="A138" s="1" t="s">
        <v>364</v>
      </c>
      <c r="B138" s="38" t="s">
        <v>685</v>
      </c>
      <c r="C138" s="3" t="s">
        <v>359</v>
      </c>
      <c r="D138" s="39">
        <v>45327.0</v>
      </c>
      <c r="E138" s="2">
        <v>4977.0</v>
      </c>
      <c r="F138" s="2" t="s">
        <v>9</v>
      </c>
      <c r="K138" s="3" t="s">
        <v>359</v>
      </c>
      <c r="L138" s="19" t="s">
        <v>533</v>
      </c>
      <c r="M138" s="2">
        <v>4977.0</v>
      </c>
      <c r="AL138" s="19" t="str">
        <f>IFERROR(__xludf.DUMMYFUNCTION("""COMPUTED_VALUE"""),"KALINGAP PHARMACY Total")</f>
        <v>KALINGAP PHARMACY Total</v>
      </c>
      <c r="AM138" s="19"/>
      <c r="AN138" s="19">
        <f>IFERROR(__xludf.DUMMYFUNCTION("""COMPUTED_VALUE"""),1.0)</f>
        <v>1</v>
      </c>
      <c r="AP138" s="19" t="str">
        <f>IFERROR(__xludf.DUMMYFUNCTION("""COMPUTED_VALUE"""),"KALINGAP PHARMACY Total")</f>
        <v>KALINGAP PHARMACY Total</v>
      </c>
      <c r="AQ138" s="19"/>
      <c r="AR138" s="19">
        <f>IFERROR(__xludf.DUMMYFUNCTION("""COMPUTED_VALUE"""),1.0)</f>
        <v>1</v>
      </c>
    </row>
    <row r="139">
      <c r="A139" s="1" t="s">
        <v>366</v>
      </c>
      <c r="B139" s="38" t="s">
        <v>552</v>
      </c>
      <c r="C139" s="3" t="s">
        <v>46</v>
      </c>
      <c r="D139" s="39">
        <v>45327.0</v>
      </c>
      <c r="E139" s="2">
        <v>5300.0</v>
      </c>
      <c r="F139" s="2" t="s">
        <v>13</v>
      </c>
      <c r="K139" s="3" t="s">
        <v>46</v>
      </c>
      <c r="L139" s="19" t="s">
        <v>533</v>
      </c>
      <c r="M139" s="2">
        <v>5300.0</v>
      </c>
      <c r="AL139" s="19" t="str">
        <f>IFERROR(__xludf.DUMMYFUNCTION("""COMPUTED_VALUE"""),"KENNEMER FOODS INTERNATIONAL INC.")</f>
        <v>KENNEMER FOODS INTERNATIONAL INC.</v>
      </c>
      <c r="AM139" s="19" t="str">
        <f>IFERROR(__xludf.DUMMYFUNCTION("""COMPUTED_VALUE"""),"February")</f>
        <v>February</v>
      </c>
      <c r="AN139" s="19">
        <f>IFERROR(__xludf.DUMMYFUNCTION("""COMPUTED_VALUE"""),1.0)</f>
        <v>1</v>
      </c>
      <c r="AP139" s="19" t="str">
        <f>IFERROR(__xludf.DUMMYFUNCTION("""COMPUTED_VALUE"""),"KENNEMER FOODS INTERNATIONAL INC.")</f>
        <v>KENNEMER FOODS INTERNATIONAL INC.</v>
      </c>
      <c r="AQ139" s="19" t="str">
        <f>IFERROR(__xludf.DUMMYFUNCTION("""COMPUTED_VALUE"""),"February")</f>
        <v>February</v>
      </c>
      <c r="AR139" s="19">
        <f>IFERROR(__xludf.DUMMYFUNCTION("""COMPUTED_VALUE"""),1.0)</f>
        <v>1</v>
      </c>
    </row>
    <row r="140">
      <c r="A140" s="1" t="s">
        <v>368</v>
      </c>
      <c r="B140" s="38" t="s">
        <v>685</v>
      </c>
      <c r="C140" s="3" t="s">
        <v>359</v>
      </c>
      <c r="D140" s="39">
        <v>45327.0</v>
      </c>
      <c r="E140" s="2">
        <v>5969.1</v>
      </c>
      <c r="F140" s="2" t="s">
        <v>9</v>
      </c>
      <c r="K140" s="3" t="s">
        <v>359</v>
      </c>
      <c r="L140" s="19" t="s">
        <v>533</v>
      </c>
      <c r="M140" s="2">
        <v>5969.1</v>
      </c>
      <c r="AL140" s="19" t="str">
        <f>IFERROR(__xludf.DUMMYFUNCTION("""COMPUTED_VALUE"""),"KENNEMER FOODS INTERNATIONAL INC. Total")</f>
        <v>KENNEMER FOODS INTERNATIONAL INC. Total</v>
      </c>
      <c r="AM140" s="19"/>
      <c r="AN140" s="19">
        <f>IFERROR(__xludf.DUMMYFUNCTION("""COMPUTED_VALUE"""),1.0)</f>
        <v>1</v>
      </c>
      <c r="AP140" s="19" t="str">
        <f>IFERROR(__xludf.DUMMYFUNCTION("""COMPUTED_VALUE"""),"KENNEMER FOODS INTERNATIONAL INC. Total")</f>
        <v>KENNEMER FOODS INTERNATIONAL INC. Total</v>
      </c>
      <c r="AQ140" s="19"/>
      <c r="AR140" s="19">
        <f>IFERROR(__xludf.DUMMYFUNCTION("""COMPUTED_VALUE"""),1.0)</f>
        <v>1</v>
      </c>
    </row>
    <row r="141">
      <c r="A141" s="1" t="s">
        <v>370</v>
      </c>
      <c r="B141" s="38" t="s">
        <v>685</v>
      </c>
      <c r="C141" s="3" t="s">
        <v>359</v>
      </c>
      <c r="D141" s="39">
        <v>45327.0</v>
      </c>
      <c r="E141" s="2">
        <v>7059.0</v>
      </c>
      <c r="F141" s="2" t="s">
        <v>9</v>
      </c>
      <c r="K141" s="3" t="s">
        <v>359</v>
      </c>
      <c r="L141" s="19" t="s">
        <v>533</v>
      </c>
      <c r="M141" s="2">
        <v>7059.0</v>
      </c>
      <c r="AL141" s="19" t="str">
        <f>IFERROR(__xludf.DUMMYFUNCTION("""COMPUTED_VALUE"""),"KILOTRADE")</f>
        <v>KILOTRADE</v>
      </c>
      <c r="AM141" s="19" t="str">
        <f>IFERROR(__xludf.DUMMYFUNCTION("""COMPUTED_VALUE"""),"January")</f>
        <v>January</v>
      </c>
      <c r="AN141" s="19">
        <f>IFERROR(__xludf.DUMMYFUNCTION("""COMPUTED_VALUE"""),1.0)</f>
        <v>1</v>
      </c>
      <c r="AP141" s="19" t="str">
        <f>IFERROR(__xludf.DUMMYFUNCTION("""COMPUTED_VALUE"""),"KILOTRADE")</f>
        <v>KILOTRADE</v>
      </c>
      <c r="AQ141" s="19" t="str">
        <f>IFERROR(__xludf.DUMMYFUNCTION("""COMPUTED_VALUE"""),"January")</f>
        <v>January</v>
      </c>
      <c r="AR141" s="19">
        <f>IFERROR(__xludf.DUMMYFUNCTION("""COMPUTED_VALUE"""),1.0)</f>
        <v>1</v>
      </c>
    </row>
    <row r="142">
      <c r="A142" s="1" t="s">
        <v>372</v>
      </c>
      <c r="B142" s="38" t="s">
        <v>685</v>
      </c>
      <c r="C142" s="3" t="s">
        <v>359</v>
      </c>
      <c r="D142" s="39">
        <v>45327.0</v>
      </c>
      <c r="E142" s="2">
        <v>7705.0</v>
      </c>
      <c r="F142" s="2" t="s">
        <v>9</v>
      </c>
      <c r="K142" s="3" t="s">
        <v>359</v>
      </c>
      <c r="L142" s="19" t="s">
        <v>533</v>
      </c>
      <c r="M142" s="2">
        <v>7705.0</v>
      </c>
      <c r="AL142" s="19" t="str">
        <f>IFERROR(__xludf.DUMMYFUNCTION("""COMPUTED_VALUE"""),"KILOTRADE Total")</f>
        <v>KILOTRADE Total</v>
      </c>
      <c r="AM142" s="19"/>
      <c r="AN142" s="19">
        <f>IFERROR(__xludf.DUMMYFUNCTION("""COMPUTED_VALUE"""),1.0)</f>
        <v>1</v>
      </c>
      <c r="AP142" s="19" t="str">
        <f>IFERROR(__xludf.DUMMYFUNCTION("""COMPUTED_VALUE"""),"KILOTRADE Total")</f>
        <v>KILOTRADE Total</v>
      </c>
      <c r="AQ142" s="19"/>
      <c r="AR142" s="19">
        <f>IFERROR(__xludf.DUMMYFUNCTION("""COMPUTED_VALUE"""),1.0)</f>
        <v>1</v>
      </c>
    </row>
    <row r="143">
      <c r="A143" s="1" t="s">
        <v>374</v>
      </c>
      <c r="B143" s="38" t="s">
        <v>685</v>
      </c>
      <c r="C143" s="3" t="s">
        <v>359</v>
      </c>
      <c r="D143" s="39">
        <v>45327.0</v>
      </c>
      <c r="E143" s="2">
        <v>8646.0</v>
      </c>
      <c r="F143" s="2" t="s">
        <v>9</v>
      </c>
      <c r="K143" s="3" t="s">
        <v>359</v>
      </c>
      <c r="L143" s="19" t="s">
        <v>533</v>
      </c>
      <c r="M143" s="2">
        <v>8646.0</v>
      </c>
      <c r="AL143" s="19" t="str">
        <f>IFERROR(__xludf.DUMMYFUNCTION("""COMPUTED_VALUE"""),"KIM GUAN TRADING CO. INC.")</f>
        <v>KIM GUAN TRADING CO. INC.</v>
      </c>
      <c r="AM143" s="19" t="str">
        <f>IFERROR(__xludf.DUMMYFUNCTION("""COMPUTED_VALUE"""),"January")</f>
        <v>January</v>
      </c>
      <c r="AN143" s="19">
        <f>IFERROR(__xludf.DUMMYFUNCTION("""COMPUTED_VALUE"""),1.0)</f>
        <v>1</v>
      </c>
      <c r="AP143" s="19" t="str">
        <f>IFERROR(__xludf.DUMMYFUNCTION("""COMPUTED_VALUE"""),"KIM GUAN TRADING CO. INC.")</f>
        <v>KIM GUAN TRADING CO. INC.</v>
      </c>
      <c r="AQ143" s="19" t="str">
        <f>IFERROR(__xludf.DUMMYFUNCTION("""COMPUTED_VALUE"""),"January")</f>
        <v>January</v>
      </c>
      <c r="AR143" s="19">
        <f>IFERROR(__xludf.DUMMYFUNCTION("""COMPUTED_VALUE"""),1.0)</f>
        <v>1</v>
      </c>
    </row>
    <row r="144">
      <c r="A144" s="1" t="s">
        <v>376</v>
      </c>
      <c r="B144" s="38" t="s">
        <v>691</v>
      </c>
      <c r="C144" s="3" t="s">
        <v>377</v>
      </c>
      <c r="D144" s="39">
        <v>45327.0</v>
      </c>
      <c r="E144" s="2">
        <v>10050.0</v>
      </c>
      <c r="F144" s="2" t="s">
        <v>13</v>
      </c>
      <c r="K144" s="3" t="s">
        <v>377</v>
      </c>
      <c r="L144" s="19" t="s">
        <v>533</v>
      </c>
      <c r="M144" s="2">
        <v>10050.0</v>
      </c>
      <c r="AL144" s="19" t="str">
        <f>IFERROR(__xludf.DUMMYFUNCTION("""COMPUTED_VALUE"""),"KIM GUAN TRADING CO. INC. Total")</f>
        <v>KIM GUAN TRADING CO. INC. Total</v>
      </c>
      <c r="AM144" s="19"/>
      <c r="AN144" s="19">
        <f>IFERROR(__xludf.DUMMYFUNCTION("""COMPUTED_VALUE"""),1.0)</f>
        <v>1</v>
      </c>
      <c r="AP144" s="19" t="str">
        <f>IFERROR(__xludf.DUMMYFUNCTION("""COMPUTED_VALUE"""),"KIM GUAN TRADING CO. INC. Total")</f>
        <v>KIM GUAN TRADING CO. INC. Total</v>
      </c>
      <c r="AQ144" s="19"/>
      <c r="AR144" s="19">
        <f>IFERROR(__xludf.DUMMYFUNCTION("""COMPUTED_VALUE"""),1.0)</f>
        <v>1</v>
      </c>
    </row>
    <row r="145">
      <c r="A145" s="1" t="s">
        <v>379</v>
      </c>
      <c r="B145" s="38" t="s">
        <v>685</v>
      </c>
      <c r="C145" s="3" t="s">
        <v>359</v>
      </c>
      <c r="D145" s="39">
        <v>45327.0</v>
      </c>
      <c r="E145" s="2">
        <v>14655.1</v>
      </c>
      <c r="F145" s="2" t="s">
        <v>9</v>
      </c>
      <c r="K145" s="3" t="s">
        <v>359</v>
      </c>
      <c r="L145" s="19" t="s">
        <v>533</v>
      </c>
      <c r="M145" s="2">
        <v>14655.1</v>
      </c>
      <c r="AL145" s="19" t="str">
        <f>IFERROR(__xludf.DUMMYFUNCTION("""COMPUTED_VALUE"""),"LAND BANK - TORIL BRANCH")</f>
        <v>LAND BANK - TORIL BRANCH</v>
      </c>
      <c r="AM145" s="19" t="str">
        <f>IFERROR(__xludf.DUMMYFUNCTION("""COMPUTED_VALUE"""),"January")</f>
        <v>January</v>
      </c>
      <c r="AN145" s="19">
        <f>IFERROR(__xludf.DUMMYFUNCTION("""COMPUTED_VALUE"""),1.0)</f>
        <v>1</v>
      </c>
      <c r="AP145" s="19" t="str">
        <f>IFERROR(__xludf.DUMMYFUNCTION("""COMPUTED_VALUE"""),"LAND BANK - TORIL BRANCH")</f>
        <v>LAND BANK - TORIL BRANCH</v>
      </c>
      <c r="AQ145" s="19" t="str">
        <f>IFERROR(__xludf.DUMMYFUNCTION("""COMPUTED_VALUE"""),"January")</f>
        <v>January</v>
      </c>
      <c r="AR145" s="19">
        <f>IFERROR(__xludf.DUMMYFUNCTION("""COMPUTED_VALUE"""),1.0)</f>
        <v>1</v>
      </c>
    </row>
    <row r="146">
      <c r="A146" s="1" t="s">
        <v>381</v>
      </c>
      <c r="B146" s="38" t="s">
        <v>685</v>
      </c>
      <c r="C146" s="3" t="s">
        <v>359</v>
      </c>
      <c r="D146" s="39">
        <v>45327.0</v>
      </c>
      <c r="E146" s="2">
        <v>14702.8</v>
      </c>
      <c r="F146" s="2" t="s">
        <v>9</v>
      </c>
      <c r="K146" s="3" t="s">
        <v>359</v>
      </c>
      <c r="L146" s="19" t="s">
        <v>533</v>
      </c>
      <c r="M146" s="2">
        <v>14702.8</v>
      </c>
      <c r="AL146" s="19" t="str">
        <f>IFERROR(__xludf.DUMMYFUNCTION("""COMPUTED_VALUE"""),"LAND BANK - TORIL BRANCH Total")</f>
        <v>LAND BANK - TORIL BRANCH Total</v>
      </c>
      <c r="AM146" s="19"/>
      <c r="AN146" s="19">
        <f>IFERROR(__xludf.DUMMYFUNCTION("""COMPUTED_VALUE"""),1.0)</f>
        <v>1</v>
      </c>
      <c r="AP146" s="19" t="str">
        <f>IFERROR(__xludf.DUMMYFUNCTION("""COMPUTED_VALUE"""),"LAND BANK - TORIL BRANCH Total")</f>
        <v>LAND BANK - TORIL BRANCH Total</v>
      </c>
      <c r="AQ146" s="19"/>
      <c r="AR146" s="19">
        <f>IFERROR(__xludf.DUMMYFUNCTION("""COMPUTED_VALUE"""),1.0)</f>
        <v>1</v>
      </c>
    </row>
    <row r="147">
      <c r="A147" s="1" t="s">
        <v>383</v>
      </c>
      <c r="B147" s="38" t="s">
        <v>685</v>
      </c>
      <c r="C147" s="3" t="s">
        <v>359</v>
      </c>
      <c r="D147" s="39">
        <v>45327.0</v>
      </c>
      <c r="E147" s="2">
        <v>14995.5</v>
      </c>
      <c r="F147" s="2" t="s">
        <v>9</v>
      </c>
      <c r="K147" s="3" t="s">
        <v>359</v>
      </c>
      <c r="L147" s="19" t="s">
        <v>533</v>
      </c>
      <c r="M147" s="2">
        <v>14995.5</v>
      </c>
      <c r="AL147" s="19" t="str">
        <f>IFERROR(__xludf.DUMMYFUNCTION("""COMPUTED_VALUE"""),"LAND BANK OF THE PHILIPPINES - MATI BRANCH")</f>
        <v>LAND BANK OF THE PHILIPPINES - MATI BRANCH</v>
      </c>
      <c r="AM147" s="19" t="str">
        <f>IFERROR(__xludf.DUMMYFUNCTION("""COMPUTED_VALUE"""),"January")</f>
        <v>January</v>
      </c>
      <c r="AN147" s="19">
        <f>IFERROR(__xludf.DUMMYFUNCTION("""COMPUTED_VALUE"""),1.0)</f>
        <v>1</v>
      </c>
      <c r="AP147" s="19" t="str">
        <f>IFERROR(__xludf.DUMMYFUNCTION("""COMPUTED_VALUE"""),"LAND BANK OF THE PHILIPPINES - MATI BRANCH")</f>
        <v>LAND BANK OF THE PHILIPPINES - MATI BRANCH</v>
      </c>
      <c r="AQ147" s="19" t="str">
        <f>IFERROR(__xludf.DUMMYFUNCTION("""COMPUTED_VALUE"""),"January")</f>
        <v>January</v>
      </c>
      <c r="AR147" s="19">
        <f>IFERROR(__xludf.DUMMYFUNCTION("""COMPUTED_VALUE"""),1.0)</f>
        <v>1</v>
      </c>
    </row>
    <row r="148">
      <c r="A148" s="1" t="s">
        <v>385</v>
      </c>
      <c r="B148" s="38" t="s">
        <v>685</v>
      </c>
      <c r="C148" s="3" t="s">
        <v>359</v>
      </c>
      <c r="D148" s="39">
        <v>45327.0</v>
      </c>
      <c r="E148" s="2">
        <v>15202.0</v>
      </c>
      <c r="F148" s="2" t="s">
        <v>9</v>
      </c>
      <c r="K148" s="3" t="s">
        <v>359</v>
      </c>
      <c r="L148" s="19" t="s">
        <v>533</v>
      </c>
      <c r="M148" s="2">
        <v>15202.0</v>
      </c>
      <c r="AL148" s="19" t="str">
        <f>IFERROR(__xludf.DUMMYFUNCTION("""COMPUTED_VALUE"""),"LAND BANK OF THE PHILIPPINES - MATI BRANCH Total")</f>
        <v>LAND BANK OF THE PHILIPPINES - MATI BRANCH Total</v>
      </c>
      <c r="AM148" s="19"/>
      <c r="AN148" s="19">
        <f>IFERROR(__xludf.DUMMYFUNCTION("""COMPUTED_VALUE"""),1.0)</f>
        <v>1</v>
      </c>
      <c r="AP148" s="19" t="str">
        <f>IFERROR(__xludf.DUMMYFUNCTION("""COMPUTED_VALUE"""),"LAND BANK OF THE PHILIPPINES - MATI BRANCH Total")</f>
        <v>LAND BANK OF THE PHILIPPINES - MATI BRANCH Total</v>
      </c>
      <c r="AQ148" s="19"/>
      <c r="AR148" s="19">
        <f>IFERROR(__xludf.DUMMYFUNCTION("""COMPUTED_VALUE"""),1.0)</f>
        <v>1</v>
      </c>
    </row>
    <row r="149">
      <c r="A149" s="1" t="s">
        <v>387</v>
      </c>
      <c r="B149" s="38" t="s">
        <v>685</v>
      </c>
      <c r="C149" s="3" t="s">
        <v>359</v>
      </c>
      <c r="D149" s="39">
        <v>45327.0</v>
      </c>
      <c r="E149" s="2">
        <v>23146.0</v>
      </c>
      <c r="F149" s="2" t="s">
        <v>9</v>
      </c>
      <c r="K149" s="3" t="s">
        <v>359</v>
      </c>
      <c r="L149" s="19" t="s">
        <v>533</v>
      </c>
      <c r="M149" s="2">
        <v>23146.0</v>
      </c>
      <c r="AL149" s="19" t="str">
        <f>IFERROR(__xludf.DUMMYFUNCTION("""COMPUTED_VALUE"""),"LAND BANK OF THE PHILS. - NABUNTURAN")</f>
        <v>LAND BANK OF THE PHILS. - NABUNTURAN</v>
      </c>
      <c r="AM149" s="19" t="str">
        <f>IFERROR(__xludf.DUMMYFUNCTION("""COMPUTED_VALUE"""),"January")</f>
        <v>January</v>
      </c>
      <c r="AN149" s="19">
        <f>IFERROR(__xludf.DUMMYFUNCTION("""COMPUTED_VALUE"""),1.0)</f>
        <v>1</v>
      </c>
      <c r="AP149" s="19" t="str">
        <f>IFERROR(__xludf.DUMMYFUNCTION("""COMPUTED_VALUE"""),"LAND BANK OF THE PHILS. - NABUNTURAN")</f>
        <v>LAND BANK OF THE PHILS. - NABUNTURAN</v>
      </c>
      <c r="AQ149" s="19" t="str">
        <f>IFERROR(__xludf.DUMMYFUNCTION("""COMPUTED_VALUE"""),"January")</f>
        <v>January</v>
      </c>
      <c r="AR149" s="19">
        <f>IFERROR(__xludf.DUMMYFUNCTION("""COMPUTED_VALUE"""),1.0)</f>
        <v>1</v>
      </c>
    </row>
    <row r="150">
      <c r="A150" s="1" t="s">
        <v>389</v>
      </c>
      <c r="B150" s="38" t="s">
        <v>685</v>
      </c>
      <c r="C150" s="3" t="s">
        <v>359</v>
      </c>
      <c r="D150" s="39">
        <v>45327.0</v>
      </c>
      <c r="E150" s="2">
        <v>31373.2</v>
      </c>
      <c r="F150" s="2" t="s">
        <v>9</v>
      </c>
      <c r="K150" s="3" t="s">
        <v>359</v>
      </c>
      <c r="L150" s="19" t="s">
        <v>533</v>
      </c>
      <c r="M150" s="2">
        <v>31373.2</v>
      </c>
      <c r="AL150" s="19" t="str">
        <f>IFERROR(__xludf.DUMMYFUNCTION("""COMPUTED_VALUE"""),"LAND BANK OF THE PHILS. - NABUNTURAN Total")</f>
        <v>LAND BANK OF THE PHILS. - NABUNTURAN Total</v>
      </c>
      <c r="AM150" s="19"/>
      <c r="AN150" s="19">
        <f>IFERROR(__xludf.DUMMYFUNCTION("""COMPUTED_VALUE"""),1.0)</f>
        <v>1</v>
      </c>
      <c r="AP150" s="19" t="str">
        <f>IFERROR(__xludf.DUMMYFUNCTION("""COMPUTED_VALUE"""),"LAND BANK OF THE PHILS. - NABUNTURAN Total")</f>
        <v>LAND BANK OF THE PHILS. - NABUNTURAN Total</v>
      </c>
      <c r="AQ150" s="19"/>
      <c r="AR150" s="19">
        <f>IFERROR(__xludf.DUMMYFUNCTION("""COMPUTED_VALUE"""),1.0)</f>
        <v>1</v>
      </c>
    </row>
    <row r="151">
      <c r="A151" s="1" t="s">
        <v>391</v>
      </c>
      <c r="B151" s="38" t="s">
        <v>685</v>
      </c>
      <c r="C151" s="3" t="s">
        <v>359</v>
      </c>
      <c r="D151" s="39">
        <v>45327.0</v>
      </c>
      <c r="E151" s="2">
        <v>39347.3</v>
      </c>
      <c r="F151" s="2" t="s">
        <v>9</v>
      </c>
      <c r="K151" s="3" t="s">
        <v>359</v>
      </c>
      <c r="L151" s="19" t="s">
        <v>533</v>
      </c>
      <c r="M151" s="2">
        <v>39347.3</v>
      </c>
      <c r="AL151" s="19" t="str">
        <f>IFERROR(__xludf.DUMMYFUNCTION("""COMPUTED_VALUE"""),"LAND BANK OF THE PHILS. - PANABO")</f>
        <v>LAND BANK OF THE PHILS. - PANABO</v>
      </c>
      <c r="AM151" s="19" t="str">
        <f>IFERROR(__xludf.DUMMYFUNCTION("""COMPUTED_VALUE"""),"February")</f>
        <v>February</v>
      </c>
      <c r="AN151" s="19">
        <f>IFERROR(__xludf.DUMMYFUNCTION("""COMPUTED_VALUE"""),1.0)</f>
        <v>1</v>
      </c>
      <c r="AP151" s="19" t="str">
        <f>IFERROR(__xludf.DUMMYFUNCTION("""COMPUTED_VALUE"""),"LAND BANK OF THE PHILS. - PANABO")</f>
        <v>LAND BANK OF THE PHILS. - PANABO</v>
      </c>
      <c r="AQ151" s="19" t="str">
        <f>IFERROR(__xludf.DUMMYFUNCTION("""COMPUTED_VALUE"""),"February")</f>
        <v>February</v>
      </c>
      <c r="AR151" s="19">
        <f>IFERROR(__xludf.DUMMYFUNCTION("""COMPUTED_VALUE"""),1.0)</f>
        <v>1</v>
      </c>
    </row>
    <row r="152">
      <c r="A152" s="1" t="s">
        <v>393</v>
      </c>
      <c r="B152" s="38" t="s">
        <v>685</v>
      </c>
      <c r="C152" s="3" t="s">
        <v>359</v>
      </c>
      <c r="D152" s="39">
        <v>45327.0</v>
      </c>
      <c r="E152" s="2">
        <v>40765.4</v>
      </c>
      <c r="F152" s="2" t="s">
        <v>9</v>
      </c>
      <c r="K152" s="3" t="s">
        <v>359</v>
      </c>
      <c r="L152" s="19" t="s">
        <v>533</v>
      </c>
      <c r="M152" s="2">
        <v>40765.4</v>
      </c>
      <c r="AL152" s="19" t="str">
        <f>IFERROR(__xludf.DUMMYFUNCTION("""COMPUTED_VALUE"""),"LAND BANK OF THE PHILS. - PANABO Total")</f>
        <v>LAND BANK OF THE PHILS. - PANABO Total</v>
      </c>
      <c r="AM152" s="19"/>
      <c r="AN152" s="19">
        <f>IFERROR(__xludf.DUMMYFUNCTION("""COMPUTED_VALUE"""),1.0)</f>
        <v>1</v>
      </c>
      <c r="AP152" s="19" t="str">
        <f>IFERROR(__xludf.DUMMYFUNCTION("""COMPUTED_VALUE"""),"LAND BANK OF THE PHILS. - PANABO Total")</f>
        <v>LAND BANK OF THE PHILS. - PANABO Total</v>
      </c>
      <c r="AQ152" s="19"/>
      <c r="AR152" s="19">
        <f>IFERROR(__xludf.DUMMYFUNCTION("""COMPUTED_VALUE"""),1.0)</f>
        <v>1</v>
      </c>
    </row>
    <row r="153">
      <c r="A153" s="1" t="s">
        <v>395</v>
      </c>
      <c r="B153" s="38" t="s">
        <v>696</v>
      </c>
      <c r="C153" s="3" t="s">
        <v>396</v>
      </c>
      <c r="D153" s="39">
        <v>45327.0</v>
      </c>
      <c r="E153" s="2">
        <v>45642.5</v>
      </c>
      <c r="F153" s="2" t="s">
        <v>9</v>
      </c>
      <c r="K153" s="3" t="s">
        <v>396</v>
      </c>
      <c r="L153" s="19" t="s">
        <v>533</v>
      </c>
      <c r="M153" s="2">
        <v>45642.5</v>
      </c>
      <c r="AL153" s="19" t="str">
        <f>IFERROR(__xludf.DUMMYFUNCTION("""COMPUTED_VALUE"""),"LAND BANK OF THE PHILS. - RAMON MAGSAYSAY")</f>
        <v>LAND BANK OF THE PHILS. - RAMON MAGSAYSAY</v>
      </c>
      <c r="AM153" s="19" t="str">
        <f>IFERROR(__xludf.DUMMYFUNCTION("""COMPUTED_VALUE"""),"January")</f>
        <v>January</v>
      </c>
      <c r="AN153" s="19">
        <f>IFERROR(__xludf.DUMMYFUNCTION("""COMPUTED_VALUE"""),1.0)</f>
        <v>1</v>
      </c>
      <c r="AP153" s="19" t="str">
        <f>IFERROR(__xludf.DUMMYFUNCTION("""COMPUTED_VALUE"""),"LAND BANK OF THE PHILS. - RAMON MAGSAYSAY")</f>
        <v>LAND BANK OF THE PHILS. - RAMON MAGSAYSAY</v>
      </c>
      <c r="AQ153" s="19" t="str">
        <f>IFERROR(__xludf.DUMMYFUNCTION("""COMPUTED_VALUE"""),"January")</f>
        <v>January</v>
      </c>
      <c r="AR153" s="19">
        <f>IFERROR(__xludf.DUMMYFUNCTION("""COMPUTED_VALUE"""),1.0)</f>
        <v>1</v>
      </c>
    </row>
    <row r="154">
      <c r="A154" s="1" t="s">
        <v>398</v>
      </c>
      <c r="B154" s="38" t="s">
        <v>685</v>
      </c>
      <c r="C154" s="3" t="s">
        <v>359</v>
      </c>
      <c r="D154" s="39">
        <v>45327.0</v>
      </c>
      <c r="E154" s="2">
        <v>147021.0</v>
      </c>
      <c r="F154" s="2" t="s">
        <v>9</v>
      </c>
      <c r="K154" s="3" t="s">
        <v>359</v>
      </c>
      <c r="L154" s="19" t="s">
        <v>533</v>
      </c>
      <c r="M154" s="2">
        <v>147021.0</v>
      </c>
      <c r="AL154" s="19" t="str">
        <f>IFERROR(__xludf.DUMMYFUNCTION("""COMPUTED_VALUE"""),"LAND BANK OF THE PHILS. - RAMON MAGSAYSAY Total")</f>
        <v>LAND BANK OF THE PHILS. - RAMON MAGSAYSAY Total</v>
      </c>
      <c r="AM154" s="19"/>
      <c r="AN154" s="19">
        <f>IFERROR(__xludf.DUMMYFUNCTION("""COMPUTED_VALUE"""),1.0)</f>
        <v>1</v>
      </c>
      <c r="AP154" s="19" t="str">
        <f>IFERROR(__xludf.DUMMYFUNCTION("""COMPUTED_VALUE"""),"LAND BANK OF THE PHILS. - RAMON MAGSAYSAY Total")</f>
        <v>LAND BANK OF THE PHILS. - RAMON MAGSAYSAY Total</v>
      </c>
      <c r="AQ154" s="19"/>
      <c r="AR154" s="19">
        <f>IFERROR(__xludf.DUMMYFUNCTION("""COMPUTED_VALUE"""),1.0)</f>
        <v>1</v>
      </c>
    </row>
    <row r="155">
      <c r="A155" s="1" t="s">
        <v>400</v>
      </c>
      <c r="B155" s="38" t="s">
        <v>685</v>
      </c>
      <c r="C155" s="3" t="s">
        <v>359</v>
      </c>
      <c r="D155" s="39">
        <v>45328.0</v>
      </c>
      <c r="E155" s="2">
        <v>2915.5</v>
      </c>
      <c r="F155" s="2" t="s">
        <v>9</v>
      </c>
      <c r="K155" s="3" t="s">
        <v>359</v>
      </c>
      <c r="L155" s="19" t="s">
        <v>533</v>
      </c>
      <c r="M155" s="2">
        <v>2915.5</v>
      </c>
      <c r="AL155" s="19" t="str">
        <f>IFERROR(__xludf.DUMMYFUNCTION("""COMPUTED_VALUE"""),"LAND BANK OF THE PHILS.-BANSALAN BRANCH")</f>
        <v>LAND BANK OF THE PHILS.-BANSALAN BRANCH</v>
      </c>
      <c r="AM155" s="19" t="str">
        <f>IFERROR(__xludf.DUMMYFUNCTION("""COMPUTED_VALUE"""),"January")</f>
        <v>January</v>
      </c>
      <c r="AN155" s="19">
        <f>IFERROR(__xludf.DUMMYFUNCTION("""COMPUTED_VALUE"""),1.0)</f>
        <v>1</v>
      </c>
      <c r="AP155" s="19" t="str">
        <f>IFERROR(__xludf.DUMMYFUNCTION("""COMPUTED_VALUE"""),"LAND BANK OF THE PHILS.-BANSALAN BRANCH")</f>
        <v>LAND BANK OF THE PHILS.-BANSALAN BRANCH</v>
      </c>
      <c r="AQ155" s="19" t="str">
        <f>IFERROR(__xludf.DUMMYFUNCTION("""COMPUTED_VALUE"""),"January")</f>
        <v>January</v>
      </c>
      <c r="AR155" s="19">
        <f>IFERROR(__xludf.DUMMYFUNCTION("""COMPUTED_VALUE"""),1.0)</f>
        <v>1</v>
      </c>
    </row>
    <row r="156">
      <c r="A156" s="1" t="s">
        <v>402</v>
      </c>
      <c r="B156" s="38" t="s">
        <v>699</v>
      </c>
      <c r="C156" s="3" t="s">
        <v>403</v>
      </c>
      <c r="D156" s="39">
        <v>45328.0</v>
      </c>
      <c r="E156" s="2">
        <v>5250.0</v>
      </c>
      <c r="F156" s="2" t="s">
        <v>13</v>
      </c>
      <c r="K156" s="3" t="s">
        <v>403</v>
      </c>
      <c r="L156" s="19" t="s">
        <v>533</v>
      </c>
      <c r="M156" s="2">
        <v>5250.0</v>
      </c>
      <c r="AL156" s="19" t="str">
        <f>IFERROR(__xludf.DUMMYFUNCTION("""COMPUTED_VALUE"""),"LAND BANK OF THE PHILS.-BANSALAN BRANCH Total")</f>
        <v>LAND BANK OF THE PHILS.-BANSALAN BRANCH Total</v>
      </c>
      <c r="AM156" s="19"/>
      <c r="AN156" s="19">
        <f>IFERROR(__xludf.DUMMYFUNCTION("""COMPUTED_VALUE"""),1.0)</f>
        <v>1</v>
      </c>
      <c r="AP156" s="19" t="str">
        <f>IFERROR(__xludf.DUMMYFUNCTION("""COMPUTED_VALUE"""),"LAND BANK OF THE PHILS.-BANSALAN BRANCH Total")</f>
        <v>LAND BANK OF THE PHILS.-BANSALAN BRANCH Total</v>
      </c>
      <c r="AQ156" s="19"/>
      <c r="AR156" s="19">
        <f>IFERROR(__xludf.DUMMYFUNCTION("""COMPUTED_VALUE"""),1.0)</f>
        <v>1</v>
      </c>
    </row>
    <row r="157">
      <c r="A157" s="1" t="s">
        <v>405</v>
      </c>
      <c r="B157" s="38" t="s">
        <v>700</v>
      </c>
      <c r="C157" s="3" t="s">
        <v>406</v>
      </c>
      <c r="D157" s="39">
        <v>45328.0</v>
      </c>
      <c r="E157" s="2">
        <v>6552.0</v>
      </c>
      <c r="F157" s="2" t="s">
        <v>13</v>
      </c>
      <c r="K157" s="3" t="s">
        <v>406</v>
      </c>
      <c r="L157" s="19" t="s">
        <v>533</v>
      </c>
      <c r="M157" s="2">
        <v>6552.0</v>
      </c>
      <c r="AL157" s="19" t="str">
        <f>IFERROR(__xludf.DUMMYFUNCTION("""COMPUTED_VALUE"""),"LICSAL CONSTRUCTION CORP.")</f>
        <v>LICSAL CONSTRUCTION CORP.</v>
      </c>
      <c r="AM157" s="19" t="str">
        <f>IFERROR(__xludf.DUMMYFUNCTION("""COMPUTED_VALUE"""),"January")</f>
        <v>January</v>
      </c>
      <c r="AN157" s="19">
        <f>IFERROR(__xludf.DUMMYFUNCTION("""COMPUTED_VALUE"""),1.0)</f>
        <v>1</v>
      </c>
      <c r="AP157" s="19" t="str">
        <f>IFERROR(__xludf.DUMMYFUNCTION("""COMPUTED_VALUE"""),"LICSAL CONSTRUCTION CORP.")</f>
        <v>LICSAL CONSTRUCTION CORP.</v>
      </c>
      <c r="AQ157" s="19" t="str">
        <f>IFERROR(__xludf.DUMMYFUNCTION("""COMPUTED_VALUE"""),"January")</f>
        <v>January</v>
      </c>
      <c r="AR157" s="19">
        <f>IFERROR(__xludf.DUMMYFUNCTION("""COMPUTED_VALUE"""),1.0)</f>
        <v>1</v>
      </c>
    </row>
    <row r="158">
      <c r="A158" s="1" t="s">
        <v>408</v>
      </c>
      <c r="B158" s="38" t="s">
        <v>685</v>
      </c>
      <c r="C158" s="3" t="s">
        <v>359</v>
      </c>
      <c r="D158" s="39">
        <v>45328.0</v>
      </c>
      <c r="E158" s="2">
        <v>16238.7</v>
      </c>
      <c r="F158" s="2" t="s">
        <v>9</v>
      </c>
      <c r="K158" s="3" t="s">
        <v>359</v>
      </c>
      <c r="L158" s="19" t="s">
        <v>533</v>
      </c>
      <c r="M158" s="2">
        <v>16238.7</v>
      </c>
      <c r="AL158" s="19" t="str">
        <f>IFERROR(__xludf.DUMMYFUNCTION("""COMPUTED_VALUE"""),"LICSAL CONSTRUCTION CORP. Total")</f>
        <v>LICSAL CONSTRUCTION CORP. Total</v>
      </c>
      <c r="AM158" s="19"/>
      <c r="AN158" s="19">
        <f>IFERROR(__xludf.DUMMYFUNCTION("""COMPUTED_VALUE"""),1.0)</f>
        <v>1</v>
      </c>
      <c r="AP158" s="19" t="str">
        <f>IFERROR(__xludf.DUMMYFUNCTION("""COMPUTED_VALUE"""),"LICSAL CONSTRUCTION CORP. Total")</f>
        <v>LICSAL CONSTRUCTION CORP. Total</v>
      </c>
      <c r="AQ158" s="19"/>
      <c r="AR158" s="19">
        <f>IFERROR(__xludf.DUMMYFUNCTION("""COMPUTED_VALUE"""),1.0)</f>
        <v>1</v>
      </c>
    </row>
    <row r="159">
      <c r="A159" s="1" t="s">
        <v>410</v>
      </c>
      <c r="B159" s="38" t="s">
        <v>702</v>
      </c>
      <c r="C159" s="3" t="s">
        <v>411</v>
      </c>
      <c r="D159" s="39">
        <v>45328.0</v>
      </c>
      <c r="E159" s="2">
        <v>16789.55</v>
      </c>
      <c r="F159" s="2" t="s">
        <v>9</v>
      </c>
      <c r="K159" s="3" t="s">
        <v>411</v>
      </c>
      <c r="L159" s="19" t="s">
        <v>533</v>
      </c>
      <c r="M159" s="2">
        <v>16789.55</v>
      </c>
      <c r="AL159" s="19" t="str">
        <f>IFERROR(__xludf.DUMMYFUNCTION("""COMPUTED_VALUE"""),"MABUHAY WAREHOUSE")</f>
        <v>MABUHAY WAREHOUSE</v>
      </c>
      <c r="AM159" s="19" t="str">
        <f>IFERROR(__xludf.DUMMYFUNCTION("""COMPUTED_VALUE"""),"February")</f>
        <v>February</v>
      </c>
      <c r="AN159" s="19">
        <f>IFERROR(__xludf.DUMMYFUNCTION("""COMPUTED_VALUE"""),1.0)</f>
        <v>1</v>
      </c>
      <c r="AP159" s="19" t="str">
        <f>IFERROR(__xludf.DUMMYFUNCTION("""COMPUTED_VALUE"""),"MABUHAY WAREHOUSE")</f>
        <v>MABUHAY WAREHOUSE</v>
      </c>
      <c r="AQ159" s="19" t="str">
        <f>IFERROR(__xludf.DUMMYFUNCTION("""COMPUTED_VALUE"""),"February")</f>
        <v>February</v>
      </c>
      <c r="AR159" s="19">
        <f>IFERROR(__xludf.DUMMYFUNCTION("""COMPUTED_VALUE"""),1.0)</f>
        <v>1</v>
      </c>
    </row>
    <row r="160">
      <c r="A160" s="1" t="s">
        <v>413</v>
      </c>
      <c r="B160" s="38" t="s">
        <v>685</v>
      </c>
      <c r="C160" s="3" t="s">
        <v>359</v>
      </c>
      <c r="D160" s="39">
        <v>45328.0</v>
      </c>
      <c r="E160" s="2">
        <v>17687.6</v>
      </c>
      <c r="F160" s="2" t="s">
        <v>9</v>
      </c>
      <c r="K160" s="3" t="s">
        <v>359</v>
      </c>
      <c r="L160" s="19" t="s">
        <v>533</v>
      </c>
      <c r="M160" s="2">
        <v>17687.6</v>
      </c>
      <c r="AL160" s="19" t="str">
        <f>IFERROR(__xludf.DUMMYFUNCTION("""COMPUTED_VALUE"""),"MABUHAY WAREHOUSE Total")</f>
        <v>MABUHAY WAREHOUSE Total</v>
      </c>
      <c r="AM160" s="19"/>
      <c r="AN160" s="19">
        <f>IFERROR(__xludf.DUMMYFUNCTION("""COMPUTED_VALUE"""),1.0)</f>
        <v>1</v>
      </c>
      <c r="AP160" s="19" t="str">
        <f>IFERROR(__xludf.DUMMYFUNCTION("""COMPUTED_VALUE"""),"MABUHAY WAREHOUSE Total")</f>
        <v>MABUHAY WAREHOUSE Total</v>
      </c>
      <c r="AQ160" s="19"/>
      <c r="AR160" s="19">
        <f>IFERROR(__xludf.DUMMYFUNCTION("""COMPUTED_VALUE"""),1.0)</f>
        <v>1</v>
      </c>
    </row>
    <row r="161">
      <c r="A161" s="1" t="s">
        <v>415</v>
      </c>
      <c r="B161" s="38" t="s">
        <v>685</v>
      </c>
      <c r="C161" s="3" t="s">
        <v>359</v>
      </c>
      <c r="D161" s="39">
        <v>45328.0</v>
      </c>
      <c r="E161" s="2">
        <v>98228.4</v>
      </c>
      <c r="F161" s="2" t="s">
        <v>9</v>
      </c>
      <c r="K161" s="3" t="s">
        <v>359</v>
      </c>
      <c r="L161" s="19" t="s">
        <v>533</v>
      </c>
      <c r="M161" s="2">
        <v>98228.4</v>
      </c>
      <c r="AL161" s="19" t="str">
        <f>IFERROR(__xludf.DUMMYFUNCTION("""COMPUTED_VALUE"""),"MALAYAN INSURANCE COMPANY INC.")</f>
        <v>MALAYAN INSURANCE COMPANY INC.</v>
      </c>
      <c r="AM161" s="19" t="str">
        <f>IFERROR(__xludf.DUMMYFUNCTION("""COMPUTED_VALUE"""),"January")</f>
        <v>January</v>
      </c>
      <c r="AN161" s="19">
        <f>IFERROR(__xludf.DUMMYFUNCTION("""COMPUTED_VALUE"""),1.0)</f>
        <v>1</v>
      </c>
      <c r="AP161" s="19" t="str">
        <f>IFERROR(__xludf.DUMMYFUNCTION("""COMPUTED_VALUE"""),"MALAYAN INSURANCE COMPANY INC.")</f>
        <v>MALAYAN INSURANCE COMPANY INC.</v>
      </c>
      <c r="AQ161" s="19" t="str">
        <f>IFERROR(__xludf.DUMMYFUNCTION("""COMPUTED_VALUE"""),"January")</f>
        <v>January</v>
      </c>
      <c r="AR161" s="19">
        <f>IFERROR(__xludf.DUMMYFUNCTION("""COMPUTED_VALUE"""),1.0)</f>
        <v>1</v>
      </c>
    </row>
    <row r="162">
      <c r="A162" s="1" t="s">
        <v>417</v>
      </c>
      <c r="B162" s="38" t="s">
        <v>534</v>
      </c>
      <c r="C162" s="3" t="s">
        <v>11</v>
      </c>
      <c r="D162" s="39">
        <v>45329.0</v>
      </c>
      <c r="E162" s="2">
        <v>3130.45</v>
      </c>
      <c r="F162" s="2" t="s">
        <v>13</v>
      </c>
      <c r="K162" s="3" t="s">
        <v>11</v>
      </c>
      <c r="L162" s="19" t="s">
        <v>533</v>
      </c>
      <c r="M162" s="2">
        <v>3130.45</v>
      </c>
      <c r="AL162" s="19" t="str">
        <f>IFERROR(__xludf.DUMMYFUNCTION("""COMPUTED_VALUE"""),"MALAYAN INSURANCE COMPANY INC. Total")</f>
        <v>MALAYAN INSURANCE COMPANY INC. Total</v>
      </c>
      <c r="AM162" s="19"/>
      <c r="AN162" s="19">
        <f>IFERROR(__xludf.DUMMYFUNCTION("""COMPUTED_VALUE"""),1.0)</f>
        <v>1</v>
      </c>
      <c r="AP162" s="19" t="str">
        <f>IFERROR(__xludf.DUMMYFUNCTION("""COMPUTED_VALUE"""),"MALAYAN INSURANCE COMPANY INC. Total")</f>
        <v>MALAYAN INSURANCE COMPANY INC. Total</v>
      </c>
      <c r="AQ162" s="19"/>
      <c r="AR162" s="19">
        <f>IFERROR(__xludf.DUMMYFUNCTION("""COMPUTED_VALUE"""),1.0)</f>
        <v>1</v>
      </c>
    </row>
    <row r="163">
      <c r="A163" s="1" t="s">
        <v>419</v>
      </c>
      <c r="B163" s="38" t="s">
        <v>588</v>
      </c>
      <c r="C163" s="3" t="s">
        <v>128</v>
      </c>
      <c r="D163" s="39">
        <v>45329.0</v>
      </c>
      <c r="E163" s="2">
        <v>3354.0</v>
      </c>
      <c r="F163" s="2" t="s">
        <v>13</v>
      </c>
      <c r="K163" s="3" t="s">
        <v>128</v>
      </c>
      <c r="L163" s="19" t="s">
        <v>533</v>
      </c>
      <c r="M163" s="2">
        <v>3354.0</v>
      </c>
      <c r="AL163" s="19" t="str">
        <f>IFERROR(__xludf.DUMMYFUNCTION("""COMPUTED_VALUE"""),"MARITIME INDUSTRY AUTHORITY")</f>
        <v>MARITIME INDUSTRY AUTHORITY</v>
      </c>
      <c r="AM163" s="19" t="str">
        <f>IFERROR(__xludf.DUMMYFUNCTION("""COMPUTED_VALUE"""),"February")</f>
        <v>February</v>
      </c>
      <c r="AN163" s="19">
        <f>IFERROR(__xludf.DUMMYFUNCTION("""COMPUTED_VALUE"""),1.0)</f>
        <v>1</v>
      </c>
      <c r="AP163" s="19" t="str">
        <f>IFERROR(__xludf.DUMMYFUNCTION("""COMPUTED_VALUE"""),"MARITIME INDUSTRY AUTHORITY")</f>
        <v>MARITIME INDUSTRY AUTHORITY</v>
      </c>
      <c r="AQ163" s="19" t="str">
        <f>IFERROR(__xludf.DUMMYFUNCTION("""COMPUTED_VALUE"""),"February")</f>
        <v>February</v>
      </c>
      <c r="AR163" s="19">
        <f>IFERROR(__xludf.DUMMYFUNCTION("""COMPUTED_VALUE"""),1.0)</f>
        <v>1</v>
      </c>
    </row>
    <row r="164">
      <c r="A164" s="1" t="s">
        <v>421</v>
      </c>
      <c r="B164" s="38" t="s">
        <v>706</v>
      </c>
      <c r="C164" s="3" t="s">
        <v>422</v>
      </c>
      <c r="D164" s="39">
        <v>45329.0</v>
      </c>
      <c r="E164" s="2">
        <v>10368.8</v>
      </c>
      <c r="F164" s="2" t="s">
        <v>13</v>
      </c>
      <c r="K164" s="3" t="s">
        <v>422</v>
      </c>
      <c r="L164" s="19" t="s">
        <v>533</v>
      </c>
      <c r="M164" s="2">
        <v>10368.8</v>
      </c>
      <c r="AL164" s="19" t="str">
        <f>IFERROR(__xludf.DUMMYFUNCTION("""COMPUTED_VALUE"""),"MARITIME INDUSTRY AUTHORITY Total")</f>
        <v>MARITIME INDUSTRY AUTHORITY Total</v>
      </c>
      <c r="AM164" s="19"/>
      <c r="AN164" s="19">
        <f>IFERROR(__xludf.DUMMYFUNCTION("""COMPUTED_VALUE"""),1.0)</f>
        <v>1</v>
      </c>
      <c r="AP164" s="19" t="str">
        <f>IFERROR(__xludf.DUMMYFUNCTION("""COMPUTED_VALUE"""),"MARITIME INDUSTRY AUTHORITY Total")</f>
        <v>MARITIME INDUSTRY AUTHORITY Total</v>
      </c>
      <c r="AQ164" s="19"/>
      <c r="AR164" s="19">
        <f>IFERROR(__xludf.DUMMYFUNCTION("""COMPUTED_VALUE"""),1.0)</f>
        <v>1</v>
      </c>
    </row>
    <row r="165">
      <c r="A165" s="1" t="s">
        <v>425</v>
      </c>
      <c r="B165" s="38" t="s">
        <v>537</v>
      </c>
      <c r="C165" s="3" t="s">
        <v>15</v>
      </c>
      <c r="D165" s="39">
        <v>45330.0</v>
      </c>
      <c r="E165" s="2">
        <v>1600.0</v>
      </c>
      <c r="F165" s="2" t="s">
        <v>13</v>
      </c>
      <c r="K165" s="3" t="s">
        <v>15</v>
      </c>
      <c r="L165" s="19" t="s">
        <v>533</v>
      </c>
      <c r="M165" s="2">
        <v>1600.0</v>
      </c>
      <c r="AL165" s="19" t="str">
        <f>IFERROR(__xludf.DUMMYFUNCTION("""COMPUTED_VALUE"""),"MILLENNIUM SPECIALTY COCO PRODUCTSINC.")</f>
        <v>MILLENNIUM SPECIALTY COCO PRODUCTSINC.</v>
      </c>
      <c r="AM165" s="19" t="str">
        <f>IFERROR(__xludf.DUMMYFUNCTION("""COMPUTED_VALUE"""),"February")</f>
        <v>February</v>
      </c>
      <c r="AN165" s="19">
        <f>IFERROR(__xludf.DUMMYFUNCTION("""COMPUTED_VALUE"""),1.0)</f>
        <v>1</v>
      </c>
      <c r="AP165" s="19" t="str">
        <f>IFERROR(__xludf.DUMMYFUNCTION("""COMPUTED_VALUE"""),"MILLENNIUM SPECIALTY COCO PRODUCTSINC.")</f>
        <v>MILLENNIUM SPECIALTY COCO PRODUCTSINC.</v>
      </c>
      <c r="AQ165" s="19" t="str">
        <f>IFERROR(__xludf.DUMMYFUNCTION("""COMPUTED_VALUE"""),"February")</f>
        <v>February</v>
      </c>
      <c r="AR165" s="19">
        <f>IFERROR(__xludf.DUMMYFUNCTION("""COMPUTED_VALUE"""),1.0)</f>
        <v>1</v>
      </c>
    </row>
    <row r="166">
      <c r="A166" s="1" t="s">
        <v>426</v>
      </c>
      <c r="B166" s="38" t="s">
        <v>537</v>
      </c>
      <c r="C166" s="3" t="s">
        <v>15</v>
      </c>
      <c r="D166" s="39">
        <v>45330.0</v>
      </c>
      <c r="E166" s="2">
        <v>1800.0</v>
      </c>
      <c r="F166" s="2" t="s">
        <v>13</v>
      </c>
      <c r="K166" s="3" t="s">
        <v>15</v>
      </c>
      <c r="L166" s="19" t="s">
        <v>533</v>
      </c>
      <c r="M166" s="2">
        <v>1800.0</v>
      </c>
      <c r="AL166" s="19" t="str">
        <f>IFERROR(__xludf.DUMMYFUNCTION("""COMPUTED_VALUE"""),"MILLENNIUM SPECIALTY COCO PRODUCTSINC. Total")</f>
        <v>MILLENNIUM SPECIALTY COCO PRODUCTSINC. Total</v>
      </c>
      <c r="AM166" s="19"/>
      <c r="AN166" s="19">
        <f>IFERROR(__xludf.DUMMYFUNCTION("""COMPUTED_VALUE"""),1.0)</f>
        <v>1</v>
      </c>
      <c r="AP166" s="19" t="str">
        <f>IFERROR(__xludf.DUMMYFUNCTION("""COMPUTED_VALUE"""),"MILLENNIUM SPECIALTY COCO PRODUCTSINC. Total")</f>
        <v>MILLENNIUM SPECIALTY COCO PRODUCTSINC. Total</v>
      </c>
      <c r="AQ166" s="19"/>
      <c r="AR166" s="19">
        <f>IFERROR(__xludf.DUMMYFUNCTION("""COMPUTED_VALUE"""),1.0)</f>
        <v>1</v>
      </c>
    </row>
    <row r="167">
      <c r="A167" s="1" t="s">
        <v>428</v>
      </c>
      <c r="B167" s="38" t="s">
        <v>585</v>
      </c>
      <c r="C167" s="3" t="s">
        <v>119</v>
      </c>
      <c r="D167" s="39">
        <v>45330.0</v>
      </c>
      <c r="E167" s="2">
        <v>2475.25</v>
      </c>
      <c r="F167" s="2" t="s">
        <v>9</v>
      </c>
      <c r="K167" s="3" t="s">
        <v>119</v>
      </c>
      <c r="L167" s="19" t="s">
        <v>533</v>
      </c>
      <c r="M167" s="2">
        <v>2475.25</v>
      </c>
      <c r="AL167" s="19" t="str">
        <f>IFERROR(__xludf.DUMMYFUNCTION("""COMPUTED_VALUE"""),"MINDANAO KOKUSAI DAIGAKU")</f>
        <v>MINDANAO KOKUSAI DAIGAKU</v>
      </c>
      <c r="AM167" s="19" t="str">
        <f>IFERROR(__xludf.DUMMYFUNCTION("""COMPUTED_VALUE"""),"January")</f>
        <v>January</v>
      </c>
      <c r="AN167" s="19">
        <f>IFERROR(__xludf.DUMMYFUNCTION("""COMPUTED_VALUE"""),1.0)</f>
        <v>1</v>
      </c>
      <c r="AP167" s="19" t="str">
        <f>IFERROR(__xludf.DUMMYFUNCTION("""COMPUTED_VALUE"""),"MINDANAO KOKUSAI DAIGAKU")</f>
        <v>MINDANAO KOKUSAI DAIGAKU</v>
      </c>
      <c r="AQ167" s="19" t="str">
        <f>IFERROR(__xludf.DUMMYFUNCTION("""COMPUTED_VALUE"""),"January")</f>
        <v>January</v>
      </c>
      <c r="AR167" s="19">
        <f>IFERROR(__xludf.DUMMYFUNCTION("""COMPUTED_VALUE"""),1.0)</f>
        <v>1</v>
      </c>
    </row>
    <row r="168">
      <c r="A168" s="1" t="s">
        <v>430</v>
      </c>
      <c r="B168" s="38" t="s">
        <v>594</v>
      </c>
      <c r="C168" s="3" t="s">
        <v>145</v>
      </c>
      <c r="D168" s="39">
        <v>45330.0</v>
      </c>
      <c r="E168" s="2">
        <v>4490.2</v>
      </c>
      <c r="F168" s="2" t="s">
        <v>13</v>
      </c>
      <c r="K168" s="3" t="s">
        <v>145</v>
      </c>
      <c r="L168" s="19" t="s">
        <v>533</v>
      </c>
      <c r="M168" s="2">
        <v>4490.2</v>
      </c>
      <c r="AL168" s="19" t="str">
        <f>IFERROR(__xludf.DUMMYFUNCTION("""COMPUTED_VALUE"""),"MINDANAO KOKUSAI DAIGAKU Total")</f>
        <v>MINDANAO KOKUSAI DAIGAKU Total</v>
      </c>
      <c r="AM168" s="19"/>
      <c r="AN168" s="19">
        <f>IFERROR(__xludf.DUMMYFUNCTION("""COMPUTED_VALUE"""),1.0)</f>
        <v>1</v>
      </c>
      <c r="AP168" s="19" t="str">
        <f>IFERROR(__xludf.DUMMYFUNCTION("""COMPUTED_VALUE"""),"MINDANAO KOKUSAI DAIGAKU Total")</f>
        <v>MINDANAO KOKUSAI DAIGAKU Total</v>
      </c>
      <c r="AQ168" s="19"/>
      <c r="AR168" s="19">
        <f>IFERROR(__xludf.DUMMYFUNCTION("""COMPUTED_VALUE"""),1.0)</f>
        <v>1</v>
      </c>
    </row>
    <row r="169">
      <c r="A169" s="1" t="s">
        <v>432</v>
      </c>
      <c r="B169" s="38" t="s">
        <v>709</v>
      </c>
      <c r="C169" s="3" t="s">
        <v>433</v>
      </c>
      <c r="D169" s="39">
        <v>45330.0</v>
      </c>
      <c r="E169" s="2">
        <v>7750.0</v>
      </c>
      <c r="F169" s="2" t="s">
        <v>9</v>
      </c>
      <c r="K169" s="3" t="s">
        <v>433</v>
      </c>
      <c r="L169" s="19" t="s">
        <v>533</v>
      </c>
      <c r="M169" s="2">
        <v>7750.0</v>
      </c>
      <c r="AL169" s="19" t="str">
        <f>IFERROR(__xludf.DUMMYFUNCTION("""COMPUTED_VALUE"""),"MINES AND GEOSCIENCES BUREAU-RXI")</f>
        <v>MINES AND GEOSCIENCES BUREAU-RXI</v>
      </c>
      <c r="AM169" s="19" t="str">
        <f>IFERROR(__xludf.DUMMYFUNCTION("""COMPUTED_VALUE"""),"February")</f>
        <v>February</v>
      </c>
      <c r="AN169" s="19">
        <f>IFERROR(__xludf.DUMMYFUNCTION("""COMPUTED_VALUE"""),2.0)</f>
        <v>2</v>
      </c>
      <c r="AP169" s="19" t="str">
        <f>IFERROR(__xludf.DUMMYFUNCTION("""COMPUTED_VALUE"""),"MINES AND GEOSCIENCES BUREAU-RXI")</f>
        <v>MINES AND GEOSCIENCES BUREAU-RXI</v>
      </c>
      <c r="AQ169" s="19" t="str">
        <f>IFERROR(__xludf.DUMMYFUNCTION("""COMPUTED_VALUE"""),"February")</f>
        <v>February</v>
      </c>
      <c r="AR169" s="19">
        <f>IFERROR(__xludf.DUMMYFUNCTION("""COMPUTED_VALUE"""),2.0)</f>
        <v>2</v>
      </c>
    </row>
    <row r="170">
      <c r="A170" s="1" t="s">
        <v>435</v>
      </c>
      <c r="B170" s="38" t="s">
        <v>650</v>
      </c>
      <c r="C170" s="3" t="s">
        <v>276</v>
      </c>
      <c r="D170" s="39">
        <v>45330.0</v>
      </c>
      <c r="E170" s="2">
        <v>8686.0</v>
      </c>
      <c r="F170" s="2" t="s">
        <v>9</v>
      </c>
      <c r="K170" s="3" t="s">
        <v>276</v>
      </c>
      <c r="L170" s="19" t="s">
        <v>533</v>
      </c>
      <c r="M170" s="2">
        <v>8686.0</v>
      </c>
      <c r="AL170" s="19" t="str">
        <f>IFERROR(__xludf.DUMMYFUNCTION("""COMPUTED_VALUE"""),"MINES AND GEOSCIENCES BUREAU-RXI Total")</f>
        <v>MINES AND GEOSCIENCES BUREAU-RXI Total</v>
      </c>
      <c r="AM170" s="19"/>
      <c r="AN170" s="19">
        <f>IFERROR(__xludf.DUMMYFUNCTION("""COMPUTED_VALUE"""),2.0)</f>
        <v>2</v>
      </c>
      <c r="AP170" s="19" t="str">
        <f>IFERROR(__xludf.DUMMYFUNCTION("""COMPUTED_VALUE"""),"MINES AND GEOSCIENCES BUREAU-RXI Total")</f>
        <v>MINES AND GEOSCIENCES BUREAU-RXI Total</v>
      </c>
      <c r="AQ170" s="19"/>
      <c r="AR170" s="19">
        <f>IFERROR(__xludf.DUMMYFUNCTION("""COMPUTED_VALUE"""),2.0)</f>
        <v>2</v>
      </c>
    </row>
    <row r="171">
      <c r="A171" s="1" t="s">
        <v>437</v>
      </c>
      <c r="B171" s="38" t="s">
        <v>711</v>
      </c>
      <c r="C171" s="3" t="s">
        <v>438</v>
      </c>
      <c r="D171" s="39">
        <v>45330.0</v>
      </c>
      <c r="E171" s="2">
        <v>8779.0</v>
      </c>
      <c r="F171" s="2" t="s">
        <v>9</v>
      </c>
      <c r="K171" s="3" t="s">
        <v>438</v>
      </c>
      <c r="L171" s="19" t="s">
        <v>533</v>
      </c>
      <c r="M171" s="2">
        <v>8779.0</v>
      </c>
      <c r="AL171" s="19" t="str">
        <f>IFERROR(__xludf.DUMMYFUNCTION("""COMPUTED_VALUE"""),"ML PREMIUM RESOURCES CORP.")</f>
        <v>ML PREMIUM RESOURCES CORP.</v>
      </c>
      <c r="AM171" s="19" t="str">
        <f>IFERROR(__xludf.DUMMYFUNCTION("""COMPUTED_VALUE"""),"February")</f>
        <v>February</v>
      </c>
      <c r="AN171" s="19">
        <f>IFERROR(__xludf.DUMMYFUNCTION("""COMPUTED_VALUE"""),2.0)</f>
        <v>2</v>
      </c>
      <c r="AP171" s="19" t="str">
        <f>IFERROR(__xludf.DUMMYFUNCTION("""COMPUTED_VALUE"""),"ML PREMIUM RESOURCES CORP.")</f>
        <v>ML PREMIUM RESOURCES CORP.</v>
      </c>
      <c r="AQ171" s="19" t="str">
        <f>IFERROR(__xludf.DUMMYFUNCTION("""COMPUTED_VALUE"""),"February")</f>
        <v>February</v>
      </c>
      <c r="AR171" s="19">
        <f>IFERROR(__xludf.DUMMYFUNCTION("""COMPUTED_VALUE"""),2.0)</f>
        <v>2</v>
      </c>
    </row>
    <row r="172">
      <c r="A172" s="1" t="s">
        <v>440</v>
      </c>
      <c r="B172" s="38" t="s">
        <v>696</v>
      </c>
      <c r="C172" s="3" t="s">
        <v>396</v>
      </c>
      <c r="D172" s="39">
        <v>45331.0</v>
      </c>
      <c r="E172" s="2">
        <v>3804.0</v>
      </c>
      <c r="F172" s="2" t="s">
        <v>9</v>
      </c>
      <c r="K172" s="3" t="s">
        <v>396</v>
      </c>
      <c r="L172" s="19" t="s">
        <v>533</v>
      </c>
      <c r="M172" s="2">
        <v>3804.0</v>
      </c>
      <c r="AL172" s="19"/>
      <c r="AM172" s="19" t="str">
        <f>IFERROR(__xludf.DUMMYFUNCTION("""COMPUTED_VALUE"""),"January")</f>
        <v>January</v>
      </c>
      <c r="AN172" s="19">
        <f>IFERROR(__xludf.DUMMYFUNCTION("""COMPUTED_VALUE"""),3.0)</f>
        <v>3</v>
      </c>
      <c r="AP172" s="19"/>
      <c r="AQ172" s="19" t="str">
        <f>IFERROR(__xludf.DUMMYFUNCTION("""COMPUTED_VALUE"""),"January")</f>
        <v>January</v>
      </c>
      <c r="AR172" s="19">
        <f>IFERROR(__xludf.DUMMYFUNCTION("""COMPUTED_VALUE"""),3.0)</f>
        <v>3</v>
      </c>
    </row>
    <row r="173">
      <c r="A173" s="1" t="s">
        <v>442</v>
      </c>
      <c r="B173" s="38" t="s">
        <v>713</v>
      </c>
      <c r="C173" s="3" t="s">
        <v>443</v>
      </c>
      <c r="D173" s="39">
        <v>45331.0</v>
      </c>
      <c r="E173" s="2">
        <v>4956.0</v>
      </c>
      <c r="F173" s="2" t="s">
        <v>13</v>
      </c>
      <c r="K173" s="3" t="s">
        <v>443</v>
      </c>
      <c r="L173" s="19" t="s">
        <v>533</v>
      </c>
      <c r="M173" s="2">
        <v>4956.0</v>
      </c>
      <c r="AL173" s="19" t="str">
        <f>IFERROR(__xludf.DUMMYFUNCTION("""COMPUTED_VALUE"""),"ML PREMIUM RESOURCES CORP. Total")</f>
        <v>ML PREMIUM RESOURCES CORP. Total</v>
      </c>
      <c r="AM173" s="19"/>
      <c r="AN173" s="19">
        <f>IFERROR(__xludf.DUMMYFUNCTION("""COMPUTED_VALUE"""),5.0)</f>
        <v>5</v>
      </c>
      <c r="AP173" s="19" t="str">
        <f>IFERROR(__xludf.DUMMYFUNCTION("""COMPUTED_VALUE"""),"ML PREMIUM RESOURCES CORP. Total")</f>
        <v>ML PREMIUM RESOURCES CORP. Total</v>
      </c>
      <c r="AQ173" s="19"/>
      <c r="AR173" s="19">
        <f>IFERROR(__xludf.DUMMYFUNCTION("""COMPUTED_VALUE"""),5.0)</f>
        <v>5</v>
      </c>
    </row>
    <row r="174">
      <c r="A174" s="1" t="s">
        <v>445</v>
      </c>
      <c r="B174" s="38" t="s">
        <v>685</v>
      </c>
      <c r="C174" s="3" t="s">
        <v>359</v>
      </c>
      <c r="D174" s="39">
        <v>45331.0</v>
      </c>
      <c r="E174" s="2">
        <v>20035.4</v>
      </c>
      <c r="F174" s="2" t="s">
        <v>9</v>
      </c>
      <c r="K174" s="3" t="s">
        <v>359</v>
      </c>
      <c r="L174" s="19" t="s">
        <v>533</v>
      </c>
      <c r="M174" s="2">
        <v>20035.4</v>
      </c>
      <c r="AL174" s="19" t="str">
        <f>IFERROR(__xludf.DUMMYFUNCTION("""COMPUTED_VALUE"""),"MOTORMALL DAVAO CORPORATION")</f>
        <v>MOTORMALL DAVAO CORPORATION</v>
      </c>
      <c r="AM174" s="19" t="str">
        <f>IFERROR(__xludf.DUMMYFUNCTION("""COMPUTED_VALUE"""),"January")</f>
        <v>January</v>
      </c>
      <c r="AN174" s="19">
        <f>IFERROR(__xludf.DUMMYFUNCTION("""COMPUTED_VALUE"""),1.0)</f>
        <v>1</v>
      </c>
      <c r="AP174" s="19" t="str">
        <f>IFERROR(__xludf.DUMMYFUNCTION("""COMPUTED_VALUE"""),"MOTORMALL DAVAO CORPORATION")</f>
        <v>MOTORMALL DAVAO CORPORATION</v>
      </c>
      <c r="AQ174" s="19" t="str">
        <f>IFERROR(__xludf.DUMMYFUNCTION("""COMPUTED_VALUE"""),"January")</f>
        <v>January</v>
      </c>
      <c r="AR174" s="19">
        <f>IFERROR(__xludf.DUMMYFUNCTION("""COMPUTED_VALUE"""),1.0)</f>
        <v>1</v>
      </c>
    </row>
    <row r="175">
      <c r="A175" s="1" t="s">
        <v>447</v>
      </c>
      <c r="B175" s="38" t="s">
        <v>685</v>
      </c>
      <c r="C175" s="3" t="s">
        <v>359</v>
      </c>
      <c r="D175" s="39">
        <v>45331.0</v>
      </c>
      <c r="E175" s="2">
        <v>103307.5</v>
      </c>
      <c r="F175" s="2" t="s">
        <v>9</v>
      </c>
      <c r="K175" s="3" t="s">
        <v>359</v>
      </c>
      <c r="L175" s="19" t="s">
        <v>533</v>
      </c>
      <c r="M175" s="2">
        <v>103307.5</v>
      </c>
      <c r="AL175" s="19" t="str">
        <f>IFERROR(__xludf.DUMMYFUNCTION("""COMPUTED_VALUE"""),"MOTORMALL DAVAO CORPORATION Total")</f>
        <v>MOTORMALL DAVAO CORPORATION Total</v>
      </c>
      <c r="AM175" s="19"/>
      <c r="AN175" s="19">
        <f>IFERROR(__xludf.DUMMYFUNCTION("""COMPUTED_VALUE"""),1.0)</f>
        <v>1</v>
      </c>
      <c r="AP175" s="19" t="str">
        <f>IFERROR(__xludf.DUMMYFUNCTION("""COMPUTED_VALUE"""),"MOTORMALL DAVAO CORPORATION Total")</f>
        <v>MOTORMALL DAVAO CORPORATION Total</v>
      </c>
      <c r="AQ175" s="19"/>
      <c r="AR175" s="19">
        <f>IFERROR(__xludf.DUMMYFUNCTION("""COMPUTED_VALUE"""),1.0)</f>
        <v>1</v>
      </c>
    </row>
    <row r="176">
      <c r="A176" s="1" t="s">
        <v>449</v>
      </c>
      <c r="B176" s="38" t="s">
        <v>573</v>
      </c>
      <c r="C176" s="3" t="s">
        <v>93</v>
      </c>
      <c r="D176" s="39">
        <v>45334.0</v>
      </c>
      <c r="E176" s="2">
        <v>3557.0</v>
      </c>
      <c r="F176" s="2" t="s">
        <v>13</v>
      </c>
      <c r="K176" s="3" t="s">
        <v>93</v>
      </c>
      <c r="L176" s="19" t="s">
        <v>533</v>
      </c>
      <c r="M176" s="2">
        <v>3557.0</v>
      </c>
      <c r="AL176" s="19" t="str">
        <f>IFERROR(__xludf.DUMMYFUNCTION("""COMPUTED_VALUE"""),"MUNICIPALITY OF KABACAN")</f>
        <v>MUNICIPALITY OF KABACAN</v>
      </c>
      <c r="AM176" s="19" t="str">
        <f>IFERROR(__xludf.DUMMYFUNCTION("""COMPUTED_VALUE"""),"February")</f>
        <v>February</v>
      </c>
      <c r="AN176" s="19">
        <f>IFERROR(__xludf.DUMMYFUNCTION("""COMPUTED_VALUE"""),1.0)</f>
        <v>1</v>
      </c>
      <c r="AP176" s="19" t="str">
        <f>IFERROR(__xludf.DUMMYFUNCTION("""COMPUTED_VALUE"""),"MUNICIPALITY OF KABACAN")</f>
        <v>MUNICIPALITY OF KABACAN</v>
      </c>
      <c r="AQ176" s="19" t="str">
        <f>IFERROR(__xludf.DUMMYFUNCTION("""COMPUTED_VALUE"""),"February")</f>
        <v>February</v>
      </c>
      <c r="AR176" s="19">
        <f>IFERROR(__xludf.DUMMYFUNCTION("""COMPUTED_VALUE"""),1.0)</f>
        <v>1</v>
      </c>
    </row>
    <row r="177">
      <c r="A177" s="1" t="s">
        <v>451</v>
      </c>
      <c r="B177" s="38" t="s">
        <v>569</v>
      </c>
      <c r="C177" s="3" t="s">
        <v>84</v>
      </c>
      <c r="D177" s="39">
        <v>45334.0</v>
      </c>
      <c r="E177" s="2">
        <v>4209.5</v>
      </c>
      <c r="F177" s="2" t="s">
        <v>13</v>
      </c>
      <c r="K177" s="3" t="s">
        <v>84</v>
      </c>
      <c r="L177" s="19" t="s">
        <v>533</v>
      </c>
      <c r="M177" s="2">
        <v>4209.5</v>
      </c>
      <c r="AL177" s="19" t="str">
        <f>IFERROR(__xludf.DUMMYFUNCTION("""COMPUTED_VALUE"""),"MUNICIPALITY OF KABACAN Total")</f>
        <v>MUNICIPALITY OF KABACAN Total</v>
      </c>
      <c r="AM177" s="19"/>
      <c r="AN177" s="19">
        <f>IFERROR(__xludf.DUMMYFUNCTION("""COMPUTED_VALUE"""),1.0)</f>
        <v>1</v>
      </c>
      <c r="AP177" s="19" t="str">
        <f>IFERROR(__xludf.DUMMYFUNCTION("""COMPUTED_VALUE"""),"MUNICIPALITY OF KABACAN Total")</f>
        <v>MUNICIPALITY OF KABACAN Total</v>
      </c>
      <c r="AQ177" s="19"/>
      <c r="AR177" s="19">
        <f>IFERROR(__xludf.DUMMYFUNCTION("""COMPUTED_VALUE"""),1.0)</f>
        <v>1</v>
      </c>
    </row>
    <row r="178">
      <c r="A178" s="1" t="s">
        <v>453</v>
      </c>
      <c r="B178" s="38" t="s">
        <v>716</v>
      </c>
      <c r="C178" s="3" t="s">
        <v>454</v>
      </c>
      <c r="D178" s="39">
        <v>45334.0</v>
      </c>
      <c r="E178" s="2">
        <v>5826.66</v>
      </c>
      <c r="F178" s="2" t="s">
        <v>13</v>
      </c>
      <c r="K178" s="3" t="s">
        <v>454</v>
      </c>
      <c r="L178" s="19" t="s">
        <v>533</v>
      </c>
      <c r="M178" s="2">
        <v>5826.66</v>
      </c>
      <c r="AL178" s="19" t="str">
        <f>IFERROR(__xludf.DUMMYFUNCTION("""COMPUTED_VALUE"""),"MUNICIPALITY OF LUPON - LGU")</f>
        <v>MUNICIPALITY OF LUPON - LGU</v>
      </c>
      <c r="AM178" s="19" t="str">
        <f>IFERROR(__xludf.DUMMYFUNCTION("""COMPUTED_VALUE"""),"February")</f>
        <v>February</v>
      </c>
      <c r="AN178" s="19">
        <f>IFERROR(__xludf.DUMMYFUNCTION("""COMPUTED_VALUE"""),21.0)</f>
        <v>21</v>
      </c>
      <c r="AP178" s="19" t="str">
        <f>IFERROR(__xludf.DUMMYFUNCTION("""COMPUTED_VALUE"""),"MUNICIPALITY OF LUPON - LGU")</f>
        <v>MUNICIPALITY OF LUPON - LGU</v>
      </c>
      <c r="AQ178" s="19" t="str">
        <f>IFERROR(__xludf.DUMMYFUNCTION("""COMPUTED_VALUE"""),"February")</f>
        <v>February</v>
      </c>
      <c r="AR178" s="19">
        <f>IFERROR(__xludf.DUMMYFUNCTION("""COMPUTED_VALUE"""),21.0)</f>
        <v>21</v>
      </c>
    </row>
    <row r="179">
      <c r="A179" s="1" t="s">
        <v>456</v>
      </c>
      <c r="B179" s="38" t="s">
        <v>573</v>
      </c>
      <c r="C179" s="3" t="s">
        <v>93</v>
      </c>
      <c r="D179" s="39">
        <v>45334.0</v>
      </c>
      <c r="E179" s="2">
        <v>10488.7</v>
      </c>
      <c r="F179" s="2" t="s">
        <v>13</v>
      </c>
      <c r="K179" s="3" t="s">
        <v>93</v>
      </c>
      <c r="L179" s="19" t="s">
        <v>533</v>
      </c>
      <c r="M179" s="2">
        <v>10488.7</v>
      </c>
      <c r="AL179" s="19" t="str">
        <f>IFERROR(__xludf.DUMMYFUNCTION("""COMPUTED_VALUE"""),"MUNICIPALITY OF LUPON - LGU Total")</f>
        <v>MUNICIPALITY OF LUPON - LGU Total</v>
      </c>
      <c r="AM179" s="19"/>
      <c r="AN179" s="19">
        <f>IFERROR(__xludf.DUMMYFUNCTION("""COMPUTED_VALUE"""),21.0)</f>
        <v>21</v>
      </c>
      <c r="AP179" s="19" t="str">
        <f>IFERROR(__xludf.DUMMYFUNCTION("""COMPUTED_VALUE"""),"MUNICIPALITY OF LUPON - LGU Total")</f>
        <v>MUNICIPALITY OF LUPON - LGU Total</v>
      </c>
      <c r="AQ179" s="19"/>
      <c r="AR179" s="19">
        <f>IFERROR(__xludf.DUMMYFUNCTION("""COMPUTED_VALUE"""),21.0)</f>
        <v>21</v>
      </c>
    </row>
    <row r="180">
      <c r="A180" s="1" t="s">
        <v>458</v>
      </c>
      <c r="B180" s="38" t="s">
        <v>573</v>
      </c>
      <c r="C180" s="3" t="s">
        <v>93</v>
      </c>
      <c r="D180" s="39">
        <v>45334.0</v>
      </c>
      <c r="E180" s="2">
        <v>11124.5</v>
      </c>
      <c r="F180" s="2" t="s">
        <v>13</v>
      </c>
      <c r="K180" s="3" t="s">
        <v>93</v>
      </c>
      <c r="L180" s="19" t="s">
        <v>533</v>
      </c>
      <c r="M180" s="2">
        <v>11124.5</v>
      </c>
      <c r="AL180" s="19" t="str">
        <f>IFERROR(__xludf.DUMMYFUNCTION("""COMPUTED_VALUE"""),"NAKASHIN DAVAO INTERNATIONAL INC.")</f>
        <v>NAKASHIN DAVAO INTERNATIONAL INC.</v>
      </c>
      <c r="AM180" s="19" t="str">
        <f>IFERROR(__xludf.DUMMYFUNCTION("""COMPUTED_VALUE"""),"February")</f>
        <v>February</v>
      </c>
      <c r="AN180" s="19">
        <f>IFERROR(__xludf.DUMMYFUNCTION("""COMPUTED_VALUE"""),1.0)</f>
        <v>1</v>
      </c>
      <c r="AP180" s="19" t="str">
        <f>IFERROR(__xludf.DUMMYFUNCTION("""COMPUTED_VALUE"""),"NAKASHIN DAVAO INTERNATIONAL INC.")</f>
        <v>NAKASHIN DAVAO INTERNATIONAL INC.</v>
      </c>
      <c r="AQ180" s="19" t="str">
        <f>IFERROR(__xludf.DUMMYFUNCTION("""COMPUTED_VALUE"""),"February")</f>
        <v>February</v>
      </c>
      <c r="AR180" s="19">
        <f>IFERROR(__xludf.DUMMYFUNCTION("""COMPUTED_VALUE"""),1.0)</f>
        <v>1</v>
      </c>
    </row>
    <row r="181">
      <c r="A181" s="1" t="s">
        <v>460</v>
      </c>
      <c r="B181" s="38" t="s">
        <v>716</v>
      </c>
      <c r="C181" s="3" t="s">
        <v>454</v>
      </c>
      <c r="D181" s="39">
        <v>45334.0</v>
      </c>
      <c r="E181" s="2">
        <v>15375.2</v>
      </c>
      <c r="F181" s="2" t="s">
        <v>13</v>
      </c>
      <c r="K181" s="3" t="s">
        <v>454</v>
      </c>
      <c r="L181" s="19" t="s">
        <v>533</v>
      </c>
      <c r="M181" s="2">
        <v>15375.2</v>
      </c>
      <c r="AL181" s="19"/>
      <c r="AM181" s="19" t="str">
        <f>IFERROR(__xludf.DUMMYFUNCTION("""COMPUTED_VALUE"""),"January")</f>
        <v>January</v>
      </c>
      <c r="AN181" s="19">
        <f>IFERROR(__xludf.DUMMYFUNCTION("""COMPUTED_VALUE"""),1.0)</f>
        <v>1</v>
      </c>
      <c r="AP181" s="19"/>
      <c r="AQ181" s="19" t="str">
        <f>IFERROR(__xludf.DUMMYFUNCTION("""COMPUTED_VALUE"""),"January")</f>
        <v>January</v>
      </c>
      <c r="AR181" s="19">
        <f>IFERROR(__xludf.DUMMYFUNCTION("""COMPUTED_VALUE"""),1.0)</f>
        <v>1</v>
      </c>
    </row>
    <row r="182">
      <c r="A182" s="1" t="s">
        <v>462</v>
      </c>
      <c r="B182" s="38" t="s">
        <v>719</v>
      </c>
      <c r="C182" s="3" t="s">
        <v>463</v>
      </c>
      <c r="D182" s="39">
        <v>45334.0</v>
      </c>
      <c r="E182" s="2">
        <v>25268.0</v>
      </c>
      <c r="F182" s="2" t="s">
        <v>9</v>
      </c>
      <c r="K182" s="3" t="s">
        <v>463</v>
      </c>
      <c r="L182" s="19" t="s">
        <v>533</v>
      </c>
      <c r="M182" s="2">
        <v>25268.0</v>
      </c>
      <c r="AL182" s="19" t="str">
        <f>IFERROR(__xludf.DUMMYFUNCTION("""COMPUTED_VALUE"""),"NAKASHIN DAVAO INTERNATIONAL INC. Total")</f>
        <v>NAKASHIN DAVAO INTERNATIONAL INC. Total</v>
      </c>
      <c r="AM182" s="19"/>
      <c r="AN182" s="19">
        <f>IFERROR(__xludf.DUMMYFUNCTION("""COMPUTED_VALUE"""),2.0)</f>
        <v>2</v>
      </c>
      <c r="AP182" s="19" t="str">
        <f>IFERROR(__xludf.DUMMYFUNCTION("""COMPUTED_VALUE"""),"NAKASHIN DAVAO INTERNATIONAL INC. Total")</f>
        <v>NAKASHIN DAVAO INTERNATIONAL INC. Total</v>
      </c>
      <c r="AQ182" s="19"/>
      <c r="AR182" s="19">
        <f>IFERROR(__xludf.DUMMYFUNCTION("""COMPUTED_VALUE"""),2.0)</f>
        <v>2</v>
      </c>
    </row>
    <row r="183">
      <c r="A183" s="1" t="s">
        <v>465</v>
      </c>
      <c r="B183" s="38" t="s">
        <v>720</v>
      </c>
      <c r="C183" s="3" t="s">
        <v>466</v>
      </c>
      <c r="D183" s="39">
        <v>45335.0</v>
      </c>
      <c r="E183" s="2">
        <v>432.5</v>
      </c>
      <c r="F183" s="2" t="s">
        <v>13</v>
      </c>
      <c r="K183" s="3" t="s">
        <v>466</v>
      </c>
      <c r="L183" s="19" t="s">
        <v>533</v>
      </c>
      <c r="M183" s="2">
        <v>432.5</v>
      </c>
      <c r="AL183" s="19" t="str">
        <f>IFERROR(__xludf.DUMMYFUNCTION("""COMPUTED_VALUE"""),"NATIONAL CONCILIATION AND MEDIAT'N BOARD")</f>
        <v>NATIONAL CONCILIATION AND MEDIAT'N BOARD</v>
      </c>
      <c r="AM183" s="19" t="str">
        <f>IFERROR(__xludf.DUMMYFUNCTION("""COMPUTED_VALUE"""),"February")</f>
        <v>February</v>
      </c>
      <c r="AN183" s="19">
        <f>IFERROR(__xludf.DUMMYFUNCTION("""COMPUTED_VALUE"""),1.0)</f>
        <v>1</v>
      </c>
      <c r="AP183" s="19" t="str">
        <f>IFERROR(__xludf.DUMMYFUNCTION("""COMPUTED_VALUE"""),"NATIONAL CONCILIATION AND MEDIAT'N BOARD")</f>
        <v>NATIONAL CONCILIATION AND MEDIAT'N BOARD</v>
      </c>
      <c r="AQ183" s="19" t="str">
        <f>IFERROR(__xludf.DUMMYFUNCTION("""COMPUTED_VALUE"""),"February")</f>
        <v>February</v>
      </c>
      <c r="AR183" s="19">
        <f>IFERROR(__xludf.DUMMYFUNCTION("""COMPUTED_VALUE"""),1.0)</f>
        <v>1</v>
      </c>
    </row>
    <row r="184">
      <c r="A184" s="1" t="s">
        <v>468</v>
      </c>
      <c r="B184" s="38" t="s">
        <v>720</v>
      </c>
      <c r="C184" s="3" t="s">
        <v>466</v>
      </c>
      <c r="D184" s="39">
        <v>45335.0</v>
      </c>
      <c r="E184" s="2">
        <v>543.9</v>
      </c>
      <c r="F184" s="2" t="s">
        <v>13</v>
      </c>
      <c r="K184" s="3" t="s">
        <v>466</v>
      </c>
      <c r="L184" s="19" t="s">
        <v>533</v>
      </c>
      <c r="M184" s="2">
        <v>543.9</v>
      </c>
      <c r="AL184" s="19" t="str">
        <f>IFERROR(__xludf.DUMMYFUNCTION("""COMPUTED_VALUE"""),"NATIONAL CONCILIATION AND MEDIAT'N BOARD Total")</f>
        <v>NATIONAL CONCILIATION AND MEDIAT'N BOARD Total</v>
      </c>
      <c r="AM184" s="19"/>
      <c r="AN184" s="19">
        <f>IFERROR(__xludf.DUMMYFUNCTION("""COMPUTED_VALUE"""),1.0)</f>
        <v>1</v>
      </c>
      <c r="AP184" s="19" t="str">
        <f>IFERROR(__xludf.DUMMYFUNCTION("""COMPUTED_VALUE"""),"NATIONAL CONCILIATION AND MEDIAT'N BOARD Total")</f>
        <v>NATIONAL CONCILIATION AND MEDIAT'N BOARD Total</v>
      </c>
      <c r="AQ184" s="19"/>
      <c r="AR184" s="19">
        <f>IFERROR(__xludf.DUMMYFUNCTION("""COMPUTED_VALUE"""),1.0)</f>
        <v>1</v>
      </c>
    </row>
    <row r="185">
      <c r="A185" s="1" t="s">
        <v>470</v>
      </c>
      <c r="B185" s="38" t="s">
        <v>722</v>
      </c>
      <c r="C185" s="3" t="s">
        <v>471</v>
      </c>
      <c r="D185" s="39">
        <v>45335.0</v>
      </c>
      <c r="E185" s="2">
        <v>2485.0</v>
      </c>
      <c r="F185" s="2" t="s">
        <v>9</v>
      </c>
      <c r="K185" s="3" t="s">
        <v>471</v>
      </c>
      <c r="L185" s="19" t="s">
        <v>533</v>
      </c>
      <c r="M185" s="2">
        <v>2485.0</v>
      </c>
      <c r="AL185" s="19" t="str">
        <f>IFERROR(__xludf.DUMMYFUNCTION("""COMPUTED_VALUE"""),"NATIONAL FOOD AUTHORITY - TAGUM")</f>
        <v>NATIONAL FOOD AUTHORITY - TAGUM</v>
      </c>
      <c r="AM185" s="19" t="str">
        <f>IFERROR(__xludf.DUMMYFUNCTION("""COMPUTED_VALUE"""),"February")</f>
        <v>February</v>
      </c>
      <c r="AN185" s="19">
        <f>IFERROR(__xludf.DUMMYFUNCTION("""COMPUTED_VALUE"""),1.0)</f>
        <v>1</v>
      </c>
      <c r="AP185" s="19" t="str">
        <f>IFERROR(__xludf.DUMMYFUNCTION("""COMPUTED_VALUE"""),"NATIONAL FOOD AUTHORITY - TAGUM")</f>
        <v>NATIONAL FOOD AUTHORITY - TAGUM</v>
      </c>
      <c r="AQ185" s="19" t="str">
        <f>IFERROR(__xludf.DUMMYFUNCTION("""COMPUTED_VALUE"""),"February")</f>
        <v>February</v>
      </c>
      <c r="AR185" s="19">
        <f>IFERROR(__xludf.DUMMYFUNCTION("""COMPUTED_VALUE"""),1.0)</f>
        <v>1</v>
      </c>
    </row>
    <row r="186">
      <c r="A186" s="1" t="s">
        <v>473</v>
      </c>
      <c r="B186" s="38" t="s">
        <v>724</v>
      </c>
      <c r="C186" s="3" t="s">
        <v>474</v>
      </c>
      <c r="D186" s="39">
        <v>45335.0</v>
      </c>
      <c r="E186" s="2">
        <v>2950.0</v>
      </c>
      <c r="F186" s="2" t="s">
        <v>13</v>
      </c>
      <c r="K186" s="3" t="s">
        <v>474</v>
      </c>
      <c r="L186" s="19" t="s">
        <v>533</v>
      </c>
      <c r="M186" s="2">
        <v>2950.0</v>
      </c>
      <c r="AL186" s="19" t="str">
        <f>IFERROR(__xludf.DUMMYFUNCTION("""COMPUTED_VALUE"""),"NATIONAL FOOD AUTHORITY - TAGUM Total")</f>
        <v>NATIONAL FOOD AUTHORITY - TAGUM Total</v>
      </c>
      <c r="AM186" s="19"/>
      <c r="AN186" s="19">
        <f>IFERROR(__xludf.DUMMYFUNCTION("""COMPUTED_VALUE"""),1.0)</f>
        <v>1</v>
      </c>
      <c r="AP186" s="19" t="str">
        <f>IFERROR(__xludf.DUMMYFUNCTION("""COMPUTED_VALUE"""),"NATIONAL FOOD AUTHORITY - TAGUM Total")</f>
        <v>NATIONAL FOOD AUTHORITY - TAGUM Total</v>
      </c>
      <c r="AQ186" s="19"/>
      <c r="AR186" s="19">
        <f>IFERROR(__xludf.DUMMYFUNCTION("""COMPUTED_VALUE"""),1.0)</f>
        <v>1</v>
      </c>
    </row>
    <row r="187">
      <c r="A187" s="1" t="s">
        <v>476</v>
      </c>
      <c r="B187" s="38" t="s">
        <v>724</v>
      </c>
      <c r="C187" s="3" t="s">
        <v>474</v>
      </c>
      <c r="D187" s="39">
        <v>45335.0</v>
      </c>
      <c r="E187" s="2">
        <v>3000.0</v>
      </c>
      <c r="F187" s="2" t="s">
        <v>13</v>
      </c>
      <c r="K187" s="3" t="s">
        <v>474</v>
      </c>
      <c r="L187" s="19" t="s">
        <v>533</v>
      </c>
      <c r="M187" s="2">
        <v>3000.0</v>
      </c>
      <c r="AL187" s="19" t="str">
        <f>IFERROR(__xludf.DUMMYFUNCTION("""COMPUTED_VALUE"""),"NATIONAL POLICE COMMISSION")</f>
        <v>NATIONAL POLICE COMMISSION</v>
      </c>
      <c r="AM187" s="19" t="str">
        <f>IFERROR(__xludf.DUMMYFUNCTION("""COMPUTED_VALUE"""),"January")</f>
        <v>January</v>
      </c>
      <c r="AN187" s="19">
        <f>IFERROR(__xludf.DUMMYFUNCTION("""COMPUTED_VALUE"""),2.0)</f>
        <v>2</v>
      </c>
      <c r="AP187" s="19" t="str">
        <f>IFERROR(__xludf.DUMMYFUNCTION("""COMPUTED_VALUE"""),"NATIONAL POLICE COMMISSION")</f>
        <v>NATIONAL POLICE COMMISSION</v>
      </c>
      <c r="AQ187" s="19" t="str">
        <f>IFERROR(__xludf.DUMMYFUNCTION("""COMPUTED_VALUE"""),"January")</f>
        <v>January</v>
      </c>
      <c r="AR187" s="19">
        <f>IFERROR(__xludf.DUMMYFUNCTION("""COMPUTED_VALUE"""),2.0)</f>
        <v>2</v>
      </c>
    </row>
    <row r="188">
      <c r="A188" s="1" t="s">
        <v>478</v>
      </c>
      <c r="B188" s="38" t="s">
        <v>726</v>
      </c>
      <c r="C188" s="3" t="s">
        <v>479</v>
      </c>
      <c r="D188" s="39">
        <v>45335.0</v>
      </c>
      <c r="E188" s="2">
        <v>4522.0</v>
      </c>
      <c r="F188" s="2" t="s">
        <v>13</v>
      </c>
      <c r="K188" s="3" t="s">
        <v>479</v>
      </c>
      <c r="L188" s="19" t="s">
        <v>533</v>
      </c>
      <c r="M188" s="2">
        <v>4522.0</v>
      </c>
      <c r="AL188" s="19" t="str">
        <f>IFERROR(__xludf.DUMMYFUNCTION("""COMPUTED_VALUE"""),"NATIONAL POLICE COMMISSION Total")</f>
        <v>NATIONAL POLICE COMMISSION Total</v>
      </c>
      <c r="AM188" s="19"/>
      <c r="AN188" s="19">
        <f>IFERROR(__xludf.DUMMYFUNCTION("""COMPUTED_VALUE"""),2.0)</f>
        <v>2</v>
      </c>
      <c r="AP188" s="19" t="str">
        <f>IFERROR(__xludf.DUMMYFUNCTION("""COMPUTED_VALUE"""),"NATIONAL POLICE COMMISSION Total")</f>
        <v>NATIONAL POLICE COMMISSION Total</v>
      </c>
      <c r="AQ188" s="19"/>
      <c r="AR188" s="19">
        <f>IFERROR(__xludf.DUMMYFUNCTION("""COMPUTED_VALUE"""),2.0)</f>
        <v>2</v>
      </c>
    </row>
    <row r="189">
      <c r="A189" s="1" t="s">
        <v>481</v>
      </c>
      <c r="B189" s="38" t="s">
        <v>727</v>
      </c>
      <c r="C189" s="3" t="s">
        <v>482</v>
      </c>
      <c r="D189" s="39">
        <v>45335.0</v>
      </c>
      <c r="E189" s="2">
        <v>10140.0</v>
      </c>
      <c r="F189" s="2" t="s">
        <v>9</v>
      </c>
      <c r="K189" s="3" t="s">
        <v>482</v>
      </c>
      <c r="L189" s="19" t="s">
        <v>533</v>
      </c>
      <c r="M189" s="2">
        <v>10140.0</v>
      </c>
      <c r="AL189" s="19" t="str">
        <f>IFERROR(__xludf.DUMMYFUNCTION("""COMPUTED_VALUE"""),"NXTGEN TECHNOLOGIES INC")</f>
        <v>NXTGEN TECHNOLOGIES INC</v>
      </c>
      <c r="AM189" s="19" t="str">
        <f>IFERROR(__xludf.DUMMYFUNCTION("""COMPUTED_VALUE"""),"January")</f>
        <v>January</v>
      </c>
      <c r="AN189" s="19">
        <f>IFERROR(__xludf.DUMMYFUNCTION("""COMPUTED_VALUE"""),1.0)</f>
        <v>1</v>
      </c>
      <c r="AP189" s="19" t="str">
        <f>IFERROR(__xludf.DUMMYFUNCTION("""COMPUTED_VALUE"""),"NXTGEN TECHNOLOGIES INC")</f>
        <v>NXTGEN TECHNOLOGIES INC</v>
      </c>
      <c r="AQ189" s="19" t="str">
        <f>IFERROR(__xludf.DUMMYFUNCTION("""COMPUTED_VALUE"""),"January")</f>
        <v>January</v>
      </c>
      <c r="AR189" s="19">
        <f>IFERROR(__xludf.DUMMYFUNCTION("""COMPUTED_VALUE"""),1.0)</f>
        <v>1</v>
      </c>
    </row>
    <row r="190">
      <c r="A190" s="1" t="s">
        <v>484</v>
      </c>
      <c r="B190" s="38" t="s">
        <v>729</v>
      </c>
      <c r="C190" s="3" t="s">
        <v>485</v>
      </c>
      <c r="D190" s="39">
        <v>45335.0</v>
      </c>
      <c r="E190" s="2">
        <v>10450.0</v>
      </c>
      <c r="F190" s="2" t="s">
        <v>13</v>
      </c>
      <c r="K190" s="3" t="s">
        <v>485</v>
      </c>
      <c r="L190" s="19" t="s">
        <v>533</v>
      </c>
      <c r="M190" s="2">
        <v>10450.0</v>
      </c>
      <c r="AL190" s="19" t="str">
        <f>IFERROR(__xludf.DUMMYFUNCTION("""COMPUTED_VALUE"""),"NXTGEN TECHNOLOGIES INC Total")</f>
        <v>NXTGEN TECHNOLOGIES INC Total</v>
      </c>
      <c r="AM190" s="19"/>
      <c r="AN190" s="19">
        <f>IFERROR(__xludf.DUMMYFUNCTION("""COMPUTED_VALUE"""),1.0)</f>
        <v>1</v>
      </c>
      <c r="AP190" s="19" t="str">
        <f>IFERROR(__xludf.DUMMYFUNCTION("""COMPUTED_VALUE"""),"NXTGEN TECHNOLOGIES INC Total")</f>
        <v>NXTGEN TECHNOLOGIES INC Total</v>
      </c>
      <c r="AQ190" s="19"/>
      <c r="AR190" s="19">
        <f>IFERROR(__xludf.DUMMYFUNCTION("""COMPUTED_VALUE"""),1.0)</f>
        <v>1</v>
      </c>
    </row>
    <row r="191">
      <c r="A191" s="1" t="s">
        <v>487</v>
      </c>
      <c r="B191" s="38" t="s">
        <v>730</v>
      </c>
      <c r="C191" s="3" t="s">
        <v>488</v>
      </c>
      <c r="D191" s="39">
        <v>45335.0</v>
      </c>
      <c r="E191" s="2">
        <v>34720.0</v>
      </c>
      <c r="F191" s="2" t="s">
        <v>13</v>
      </c>
      <c r="K191" s="3" t="s">
        <v>488</v>
      </c>
      <c r="L191" s="19" t="s">
        <v>533</v>
      </c>
      <c r="M191" s="2">
        <v>34720.0</v>
      </c>
      <c r="AL191" s="19" t="str">
        <f>IFERROR(__xludf.DUMMYFUNCTION("""COMPUTED_VALUE"""),"PANORAMA SUMMIT HOTEL")</f>
        <v>PANORAMA SUMMIT HOTEL</v>
      </c>
      <c r="AM191" s="19" t="str">
        <f>IFERROR(__xludf.DUMMYFUNCTION("""COMPUTED_VALUE"""),"January")</f>
        <v>January</v>
      </c>
      <c r="AN191" s="19">
        <f>IFERROR(__xludf.DUMMYFUNCTION("""COMPUTED_VALUE"""),1.0)</f>
        <v>1</v>
      </c>
      <c r="AP191" s="19" t="str">
        <f>IFERROR(__xludf.DUMMYFUNCTION("""COMPUTED_VALUE"""),"PANORAMA SUMMIT HOTEL")</f>
        <v>PANORAMA SUMMIT HOTEL</v>
      </c>
      <c r="AQ191" s="19" t="str">
        <f>IFERROR(__xludf.DUMMYFUNCTION("""COMPUTED_VALUE"""),"January")</f>
        <v>January</v>
      </c>
      <c r="AR191" s="19">
        <f>IFERROR(__xludf.DUMMYFUNCTION("""COMPUTED_VALUE"""),1.0)</f>
        <v>1</v>
      </c>
    </row>
    <row r="192">
      <c r="A192" s="1" t="s">
        <v>490</v>
      </c>
      <c r="B192" s="38" t="s">
        <v>720</v>
      </c>
      <c r="C192" s="3" t="s">
        <v>466</v>
      </c>
      <c r="D192" s="39">
        <v>45336.0</v>
      </c>
      <c r="E192" s="2">
        <v>640.5</v>
      </c>
      <c r="F192" s="2" t="s">
        <v>13</v>
      </c>
      <c r="K192" s="3" t="s">
        <v>466</v>
      </c>
      <c r="L192" s="19" t="s">
        <v>533</v>
      </c>
      <c r="M192" s="2">
        <v>640.5</v>
      </c>
      <c r="AL192" s="19" t="str">
        <f>IFERROR(__xludf.DUMMYFUNCTION("""COMPUTED_VALUE"""),"PANORAMA SUMMIT HOTEL Total")</f>
        <v>PANORAMA SUMMIT HOTEL Total</v>
      </c>
      <c r="AM192" s="19"/>
      <c r="AN192" s="19">
        <f>IFERROR(__xludf.DUMMYFUNCTION("""COMPUTED_VALUE"""),1.0)</f>
        <v>1</v>
      </c>
      <c r="AP192" s="19" t="str">
        <f>IFERROR(__xludf.DUMMYFUNCTION("""COMPUTED_VALUE"""),"PANORAMA SUMMIT HOTEL Total")</f>
        <v>PANORAMA SUMMIT HOTEL Total</v>
      </c>
      <c r="AQ192" s="19"/>
      <c r="AR192" s="19">
        <f>IFERROR(__xludf.DUMMYFUNCTION("""COMPUTED_VALUE"""),1.0)</f>
        <v>1</v>
      </c>
    </row>
    <row r="193">
      <c r="A193" s="1" t="s">
        <v>492</v>
      </c>
      <c r="B193" s="38" t="s">
        <v>537</v>
      </c>
      <c r="C193" s="3" t="s">
        <v>15</v>
      </c>
      <c r="D193" s="39">
        <v>45336.0</v>
      </c>
      <c r="E193" s="2">
        <v>900.0</v>
      </c>
      <c r="F193" s="2" t="s">
        <v>13</v>
      </c>
      <c r="K193" s="3" t="s">
        <v>15</v>
      </c>
      <c r="L193" s="19" t="s">
        <v>533</v>
      </c>
      <c r="M193" s="2">
        <v>900.0</v>
      </c>
      <c r="AL193" s="19" t="str">
        <f>IFERROR(__xludf.DUMMYFUNCTION("""COMPUTED_VALUE"""),"PHIL.FIBER INDUSTRY DEV'T AUTHORITY")</f>
        <v>PHIL.FIBER INDUSTRY DEV'T AUTHORITY</v>
      </c>
      <c r="AM193" s="19" t="str">
        <f>IFERROR(__xludf.DUMMYFUNCTION("""COMPUTED_VALUE"""),"January")</f>
        <v>January</v>
      </c>
      <c r="AN193" s="19">
        <f>IFERROR(__xludf.DUMMYFUNCTION("""COMPUTED_VALUE"""),1.0)</f>
        <v>1</v>
      </c>
      <c r="AP193" s="19" t="str">
        <f>IFERROR(__xludf.DUMMYFUNCTION("""COMPUTED_VALUE"""),"PHIL.FIBER INDUSTRY DEV'T AUTHORITY")</f>
        <v>PHIL.FIBER INDUSTRY DEV'T AUTHORITY</v>
      </c>
      <c r="AQ193" s="19" t="str">
        <f>IFERROR(__xludf.DUMMYFUNCTION("""COMPUTED_VALUE"""),"January")</f>
        <v>January</v>
      </c>
      <c r="AR193" s="19">
        <f>IFERROR(__xludf.DUMMYFUNCTION("""COMPUTED_VALUE"""),1.0)</f>
        <v>1</v>
      </c>
    </row>
    <row r="194">
      <c r="A194" s="1" t="s">
        <v>494</v>
      </c>
      <c r="B194" s="38" t="s">
        <v>733</v>
      </c>
      <c r="C194" s="3" t="s">
        <v>495</v>
      </c>
      <c r="D194" s="39">
        <v>45336.0</v>
      </c>
      <c r="E194" s="2">
        <v>8040.0</v>
      </c>
      <c r="F194" s="2" t="s">
        <v>13</v>
      </c>
      <c r="K194" s="3" t="s">
        <v>495</v>
      </c>
      <c r="L194" s="19" t="s">
        <v>533</v>
      </c>
      <c r="M194" s="2">
        <v>8040.0</v>
      </c>
      <c r="AL194" s="19" t="str">
        <f>IFERROR(__xludf.DUMMYFUNCTION("""COMPUTED_VALUE"""),"PHIL.FIBER INDUSTRY DEV'T AUTHORITY Total")</f>
        <v>PHIL.FIBER INDUSTRY DEV'T AUTHORITY Total</v>
      </c>
      <c r="AM194" s="19"/>
      <c r="AN194" s="19">
        <f>IFERROR(__xludf.DUMMYFUNCTION("""COMPUTED_VALUE"""),1.0)</f>
        <v>1</v>
      </c>
      <c r="AP194" s="19" t="str">
        <f>IFERROR(__xludf.DUMMYFUNCTION("""COMPUTED_VALUE"""),"PHIL.FIBER INDUSTRY DEV'T AUTHORITY Total")</f>
        <v>PHIL.FIBER INDUSTRY DEV'T AUTHORITY Total</v>
      </c>
      <c r="AQ194" s="19"/>
      <c r="AR194" s="19">
        <f>IFERROR(__xludf.DUMMYFUNCTION("""COMPUTED_VALUE"""),1.0)</f>
        <v>1</v>
      </c>
    </row>
    <row r="195">
      <c r="A195" s="1" t="s">
        <v>497</v>
      </c>
      <c r="B195" s="38" t="s">
        <v>734</v>
      </c>
      <c r="C195" s="3" t="s">
        <v>498</v>
      </c>
      <c r="D195" s="39">
        <v>45336.0</v>
      </c>
      <c r="E195" s="2">
        <v>10629.75</v>
      </c>
      <c r="F195" s="2" t="s">
        <v>9</v>
      </c>
      <c r="K195" s="3" t="s">
        <v>498</v>
      </c>
      <c r="L195" s="19" t="s">
        <v>533</v>
      </c>
      <c r="M195" s="2">
        <v>10629.75</v>
      </c>
      <c r="AL195" s="19" t="str">
        <f>IFERROR(__xludf.DUMMYFUNCTION("""COMPUTED_VALUE"""),"PHILIPPINE COCONUT AUTHORITY-REG.XI")</f>
        <v>PHILIPPINE COCONUT AUTHORITY-REG.XI</v>
      </c>
      <c r="AM195" s="19" t="str">
        <f>IFERROR(__xludf.DUMMYFUNCTION("""COMPUTED_VALUE"""),"January")</f>
        <v>January</v>
      </c>
      <c r="AN195" s="19">
        <f>IFERROR(__xludf.DUMMYFUNCTION("""COMPUTED_VALUE"""),1.0)</f>
        <v>1</v>
      </c>
      <c r="AP195" s="19" t="str">
        <f>IFERROR(__xludf.DUMMYFUNCTION("""COMPUTED_VALUE"""),"PHILIPPINE COCONUT AUTHORITY-REG.XI")</f>
        <v>PHILIPPINE COCONUT AUTHORITY-REG.XI</v>
      </c>
      <c r="AQ195" s="19" t="str">
        <f>IFERROR(__xludf.DUMMYFUNCTION("""COMPUTED_VALUE"""),"January")</f>
        <v>January</v>
      </c>
      <c r="AR195" s="19">
        <f>IFERROR(__xludf.DUMMYFUNCTION("""COMPUTED_VALUE"""),1.0)</f>
        <v>1</v>
      </c>
    </row>
    <row r="196">
      <c r="A196" s="1" t="s">
        <v>500</v>
      </c>
      <c r="B196" s="38" t="s">
        <v>736</v>
      </c>
      <c r="C196" s="3" t="s">
        <v>501</v>
      </c>
      <c r="D196" s="39">
        <v>45336.0</v>
      </c>
      <c r="E196" s="2">
        <v>11281.0</v>
      </c>
      <c r="F196" s="2" t="s">
        <v>9</v>
      </c>
      <c r="K196" s="3" t="s">
        <v>501</v>
      </c>
      <c r="L196" s="19" t="s">
        <v>533</v>
      </c>
      <c r="M196" s="2">
        <v>11281.0</v>
      </c>
      <c r="AL196" s="19" t="str">
        <f>IFERROR(__xludf.DUMMYFUNCTION("""COMPUTED_VALUE"""),"PHILIPPINE COCONUT AUTHORITY-REG.XI Total")</f>
        <v>PHILIPPINE COCONUT AUTHORITY-REG.XI Total</v>
      </c>
      <c r="AM196" s="19"/>
      <c r="AN196" s="19">
        <f>IFERROR(__xludf.DUMMYFUNCTION("""COMPUTED_VALUE"""),1.0)</f>
        <v>1</v>
      </c>
      <c r="AP196" s="19" t="str">
        <f>IFERROR(__xludf.DUMMYFUNCTION("""COMPUTED_VALUE"""),"PHILIPPINE COCONUT AUTHORITY-REG.XI Total")</f>
        <v>PHILIPPINE COCONUT AUTHORITY-REG.XI Total</v>
      </c>
      <c r="AQ196" s="19"/>
      <c r="AR196" s="19">
        <f>IFERROR(__xludf.DUMMYFUNCTION("""COMPUTED_VALUE"""),1.0)</f>
        <v>1</v>
      </c>
    </row>
    <row r="197">
      <c r="A197" s="1" t="s">
        <v>503</v>
      </c>
      <c r="B197" s="38" t="s">
        <v>733</v>
      </c>
      <c r="C197" s="3" t="s">
        <v>495</v>
      </c>
      <c r="D197" s="39">
        <v>45336.0</v>
      </c>
      <c r="E197" s="2">
        <v>26720.0</v>
      </c>
      <c r="F197" s="2" t="s">
        <v>13</v>
      </c>
      <c r="K197" s="3" t="s">
        <v>495</v>
      </c>
      <c r="L197" s="19" t="s">
        <v>533</v>
      </c>
      <c r="M197" s="2">
        <v>26720.0</v>
      </c>
      <c r="AL197" s="19" t="str">
        <f>IFERROR(__xludf.DUMMYFUNCTION("""COMPUTED_VALUE"""),"PHILIPS GLASS &amp; ALUMINUM SALES INC.")</f>
        <v>PHILIPS GLASS &amp; ALUMINUM SALES INC.</v>
      </c>
      <c r="AM197" s="19" t="str">
        <f>IFERROR(__xludf.DUMMYFUNCTION("""COMPUTED_VALUE"""),"January")</f>
        <v>January</v>
      </c>
      <c r="AN197" s="19">
        <f>IFERROR(__xludf.DUMMYFUNCTION("""COMPUTED_VALUE"""),1.0)</f>
        <v>1</v>
      </c>
      <c r="AP197" s="19" t="str">
        <f>IFERROR(__xludf.DUMMYFUNCTION("""COMPUTED_VALUE"""),"PHILIPS GLASS &amp; ALUMINUM SALES INC.")</f>
        <v>PHILIPS GLASS &amp; ALUMINUM SALES INC.</v>
      </c>
      <c r="AQ197" s="19" t="str">
        <f>IFERROR(__xludf.DUMMYFUNCTION("""COMPUTED_VALUE"""),"January")</f>
        <v>January</v>
      </c>
      <c r="AR197" s="19">
        <f>IFERROR(__xludf.DUMMYFUNCTION("""COMPUTED_VALUE"""),1.0)</f>
        <v>1</v>
      </c>
    </row>
    <row r="198">
      <c r="A198" s="1" t="s">
        <v>505</v>
      </c>
      <c r="B198" s="38" t="s">
        <v>738</v>
      </c>
      <c r="C198" s="3" t="s">
        <v>506</v>
      </c>
      <c r="D198" s="39">
        <v>45336.0</v>
      </c>
      <c r="E198" s="2">
        <v>29710.0</v>
      </c>
      <c r="F198" s="2" t="s">
        <v>13</v>
      </c>
      <c r="K198" s="3" t="s">
        <v>506</v>
      </c>
      <c r="L198" s="19" t="s">
        <v>533</v>
      </c>
      <c r="M198" s="2">
        <v>29710.0</v>
      </c>
      <c r="AL198" s="19" t="str">
        <f>IFERROR(__xludf.DUMMYFUNCTION("""COMPUTED_VALUE"""),"PHILIPS GLASS &amp; ALUMINUM SALES INC. Total")</f>
        <v>PHILIPS GLASS &amp; ALUMINUM SALES INC. Total</v>
      </c>
      <c r="AM198" s="19"/>
      <c r="AN198" s="19">
        <f>IFERROR(__xludf.DUMMYFUNCTION("""COMPUTED_VALUE"""),1.0)</f>
        <v>1</v>
      </c>
      <c r="AP198" s="19" t="str">
        <f>IFERROR(__xludf.DUMMYFUNCTION("""COMPUTED_VALUE"""),"PHILIPS GLASS &amp; ALUMINUM SALES INC. Total")</f>
        <v>PHILIPS GLASS &amp; ALUMINUM SALES INC. Total</v>
      </c>
      <c r="AQ198" s="19"/>
      <c r="AR198" s="19">
        <f>IFERROR(__xludf.DUMMYFUNCTION("""COMPUTED_VALUE"""),1.0)</f>
        <v>1</v>
      </c>
    </row>
    <row r="199">
      <c r="A199" s="1" t="s">
        <v>508</v>
      </c>
      <c r="B199" s="38" t="s">
        <v>558</v>
      </c>
      <c r="C199" s="3" t="s">
        <v>60</v>
      </c>
      <c r="D199" s="39">
        <v>45337.0</v>
      </c>
      <c r="E199" s="2">
        <v>440.0</v>
      </c>
      <c r="F199" s="2" t="s">
        <v>13</v>
      </c>
      <c r="K199" s="3" t="s">
        <v>60</v>
      </c>
      <c r="L199" s="19" t="s">
        <v>533</v>
      </c>
      <c r="M199" s="2">
        <v>440.0</v>
      </c>
      <c r="AL199" s="19" t="str">
        <f>IFERROR(__xludf.DUMMYFUNCTION("""COMPUTED_VALUE"""),"PNJK INC")</f>
        <v>PNJK INC</v>
      </c>
      <c r="AM199" s="19" t="str">
        <f>IFERROR(__xludf.DUMMYFUNCTION("""COMPUTED_VALUE"""),"January")</f>
        <v>January</v>
      </c>
      <c r="AN199" s="19">
        <f>IFERROR(__xludf.DUMMYFUNCTION("""COMPUTED_VALUE"""),1.0)</f>
        <v>1</v>
      </c>
      <c r="AP199" s="19" t="str">
        <f>IFERROR(__xludf.DUMMYFUNCTION("""COMPUTED_VALUE"""),"PNJK INC")</f>
        <v>PNJK INC</v>
      </c>
      <c r="AQ199" s="19" t="str">
        <f>IFERROR(__xludf.DUMMYFUNCTION("""COMPUTED_VALUE"""),"January")</f>
        <v>January</v>
      </c>
      <c r="AR199" s="19">
        <f>IFERROR(__xludf.DUMMYFUNCTION("""COMPUTED_VALUE"""),1.0)</f>
        <v>1</v>
      </c>
    </row>
    <row r="200">
      <c r="A200" s="1" t="s">
        <v>510</v>
      </c>
      <c r="B200" s="38" t="s">
        <v>569</v>
      </c>
      <c r="C200" s="3" t="s">
        <v>84</v>
      </c>
      <c r="D200" s="39">
        <v>45337.0</v>
      </c>
      <c r="E200" s="2">
        <v>900.0</v>
      </c>
      <c r="F200" s="2" t="s">
        <v>13</v>
      </c>
      <c r="K200" s="3" t="s">
        <v>84</v>
      </c>
      <c r="L200" s="19" t="s">
        <v>533</v>
      </c>
      <c r="M200" s="2">
        <v>900.0</v>
      </c>
      <c r="AL200" s="19" t="str">
        <f>IFERROR(__xludf.DUMMYFUNCTION("""COMPUTED_VALUE"""),"PNJK INC Total")</f>
        <v>PNJK INC Total</v>
      </c>
      <c r="AM200" s="19"/>
      <c r="AN200" s="19">
        <f>IFERROR(__xludf.DUMMYFUNCTION("""COMPUTED_VALUE"""),1.0)</f>
        <v>1</v>
      </c>
      <c r="AP200" s="19" t="str">
        <f>IFERROR(__xludf.DUMMYFUNCTION("""COMPUTED_VALUE"""),"PNJK INC Total")</f>
        <v>PNJK INC Total</v>
      </c>
      <c r="AQ200" s="19"/>
      <c r="AR200" s="19">
        <f>IFERROR(__xludf.DUMMYFUNCTION("""COMPUTED_VALUE"""),1.0)</f>
        <v>1</v>
      </c>
    </row>
    <row r="201">
      <c r="A201" s="1" t="s">
        <v>511</v>
      </c>
      <c r="B201" s="38" t="s">
        <v>740</v>
      </c>
      <c r="C201" s="3" t="s">
        <v>512</v>
      </c>
      <c r="D201" s="39">
        <v>45337.0</v>
      </c>
      <c r="E201" s="2">
        <v>1200.0</v>
      </c>
      <c r="F201" s="2" t="s">
        <v>13</v>
      </c>
      <c r="K201" s="3" t="s">
        <v>512</v>
      </c>
      <c r="L201" s="19" t="s">
        <v>533</v>
      </c>
      <c r="M201" s="2">
        <v>1200.0</v>
      </c>
      <c r="AL201" s="19" t="str">
        <f>IFERROR(__xludf.DUMMYFUNCTION("""COMPUTED_VALUE"""),"RBGM MEDICAL EXPRESS SALES INC.")</f>
        <v>RBGM MEDICAL EXPRESS SALES INC.</v>
      </c>
      <c r="AM201" s="19" t="str">
        <f>IFERROR(__xludf.DUMMYFUNCTION("""COMPUTED_VALUE"""),"January")</f>
        <v>January</v>
      </c>
      <c r="AN201" s="19">
        <f>IFERROR(__xludf.DUMMYFUNCTION("""COMPUTED_VALUE"""),2.0)</f>
        <v>2</v>
      </c>
      <c r="AP201" s="19" t="str">
        <f>IFERROR(__xludf.DUMMYFUNCTION("""COMPUTED_VALUE"""),"RBGM MEDICAL EXPRESS SALES INC.")</f>
        <v>RBGM MEDICAL EXPRESS SALES INC.</v>
      </c>
      <c r="AQ201" s="19" t="str">
        <f>IFERROR(__xludf.DUMMYFUNCTION("""COMPUTED_VALUE"""),"January")</f>
        <v>January</v>
      </c>
      <c r="AR201" s="19">
        <f>IFERROR(__xludf.DUMMYFUNCTION("""COMPUTED_VALUE"""),2.0)</f>
        <v>2</v>
      </c>
    </row>
    <row r="202">
      <c r="A202" s="13"/>
      <c r="B202" s="41"/>
      <c r="D202" s="12"/>
      <c r="E202" s="14"/>
      <c r="F202" s="14"/>
      <c r="M202" s="14"/>
      <c r="AL202" s="19" t="str">
        <f>IFERROR(__xludf.DUMMYFUNCTION("""COMPUTED_VALUE"""),"RBGM MEDICAL EXPRESS SALES INC. Total")</f>
        <v>RBGM MEDICAL EXPRESS SALES INC. Total</v>
      </c>
      <c r="AM202" s="19"/>
      <c r="AN202" s="19">
        <f>IFERROR(__xludf.DUMMYFUNCTION("""COMPUTED_VALUE"""),2.0)</f>
        <v>2</v>
      </c>
      <c r="AP202" s="19" t="str">
        <f>IFERROR(__xludf.DUMMYFUNCTION("""COMPUTED_VALUE"""),"RBGM MEDICAL EXPRESS SALES INC. Total")</f>
        <v>RBGM MEDICAL EXPRESS SALES INC. Total</v>
      </c>
      <c r="AQ202" s="19"/>
      <c r="AR202" s="19">
        <f>IFERROR(__xludf.DUMMYFUNCTION("""COMPUTED_VALUE"""),2.0)</f>
        <v>2</v>
      </c>
    </row>
    <row r="203">
      <c r="A203" s="13"/>
      <c r="B203" s="41"/>
      <c r="D203" s="12"/>
      <c r="E203" s="14"/>
      <c r="F203" s="14"/>
      <c r="M203" s="14"/>
      <c r="AL203" s="19" t="str">
        <f>IFERROR(__xludf.DUMMYFUNCTION("""COMPUTED_VALUE"""),"REJOICE FAMILY FOODS")</f>
        <v>REJOICE FAMILY FOODS</v>
      </c>
      <c r="AM203" s="19" t="str">
        <f>IFERROR(__xludf.DUMMYFUNCTION("""COMPUTED_VALUE"""),"February")</f>
        <v>February</v>
      </c>
      <c r="AN203" s="19">
        <f>IFERROR(__xludf.DUMMYFUNCTION("""COMPUTED_VALUE"""),1.0)</f>
        <v>1</v>
      </c>
      <c r="AP203" s="19" t="str">
        <f>IFERROR(__xludf.DUMMYFUNCTION("""COMPUTED_VALUE"""),"REJOICE FAMILY FOODS")</f>
        <v>REJOICE FAMILY FOODS</v>
      </c>
      <c r="AQ203" s="19" t="str">
        <f>IFERROR(__xludf.DUMMYFUNCTION("""COMPUTED_VALUE"""),"February")</f>
        <v>February</v>
      </c>
      <c r="AR203" s="19">
        <f>IFERROR(__xludf.DUMMYFUNCTION("""COMPUTED_VALUE"""),1.0)</f>
        <v>1</v>
      </c>
    </row>
    <row r="204">
      <c r="A204" s="13"/>
      <c r="B204" s="41"/>
      <c r="D204" s="12"/>
      <c r="E204" s="14"/>
      <c r="F204" s="14"/>
      <c r="M204" s="14"/>
      <c r="AL204" s="19"/>
      <c r="AM204" s="19" t="str">
        <f>IFERROR(__xludf.DUMMYFUNCTION("""COMPUTED_VALUE"""),"January")</f>
        <v>January</v>
      </c>
      <c r="AN204" s="19">
        <f>IFERROR(__xludf.DUMMYFUNCTION("""COMPUTED_VALUE"""),3.0)</f>
        <v>3</v>
      </c>
      <c r="AP204" s="19"/>
      <c r="AQ204" s="19" t="str">
        <f>IFERROR(__xludf.DUMMYFUNCTION("""COMPUTED_VALUE"""),"January")</f>
        <v>January</v>
      </c>
      <c r="AR204" s="19">
        <f>IFERROR(__xludf.DUMMYFUNCTION("""COMPUTED_VALUE"""),3.0)</f>
        <v>3</v>
      </c>
    </row>
    <row r="205">
      <c r="A205" s="13"/>
      <c r="B205" s="41"/>
      <c r="D205" s="12"/>
      <c r="E205" s="14"/>
      <c r="F205" s="14"/>
      <c r="M205" s="14"/>
      <c r="AL205" s="19" t="str">
        <f>IFERROR(__xludf.DUMMYFUNCTION("""COMPUTED_VALUE"""),"REJOICE FAMILY FOODS Total")</f>
        <v>REJOICE FAMILY FOODS Total</v>
      </c>
      <c r="AM205" s="19"/>
      <c r="AN205" s="19">
        <f>IFERROR(__xludf.DUMMYFUNCTION("""COMPUTED_VALUE"""),4.0)</f>
        <v>4</v>
      </c>
      <c r="AP205" s="19" t="str">
        <f>IFERROR(__xludf.DUMMYFUNCTION("""COMPUTED_VALUE"""),"REJOICE FAMILY FOODS Total")</f>
        <v>REJOICE FAMILY FOODS Total</v>
      </c>
      <c r="AQ205" s="19"/>
      <c r="AR205" s="19">
        <f>IFERROR(__xludf.DUMMYFUNCTION("""COMPUTED_VALUE"""),4.0)</f>
        <v>4</v>
      </c>
    </row>
    <row r="206">
      <c r="A206" s="13"/>
      <c r="B206" s="41"/>
      <c r="D206" s="12"/>
      <c r="E206" s="14"/>
      <c r="F206" s="14"/>
      <c r="M206" s="14"/>
      <c r="AL206" s="19" t="str">
        <f>IFERROR(__xludf.DUMMYFUNCTION("""COMPUTED_VALUE"""),"RV BAYANIHAN LENDING")</f>
        <v>RV BAYANIHAN LENDING</v>
      </c>
      <c r="AM206" s="19" t="str">
        <f>IFERROR(__xludf.DUMMYFUNCTION("""COMPUTED_VALUE"""),"January")</f>
        <v>January</v>
      </c>
      <c r="AN206" s="19">
        <f>IFERROR(__xludf.DUMMYFUNCTION("""COMPUTED_VALUE"""),1.0)</f>
        <v>1</v>
      </c>
      <c r="AP206" s="19" t="str">
        <f>IFERROR(__xludf.DUMMYFUNCTION("""COMPUTED_VALUE"""),"RV BAYANIHAN LENDING")</f>
        <v>RV BAYANIHAN LENDING</v>
      </c>
      <c r="AQ206" s="19" t="str">
        <f>IFERROR(__xludf.DUMMYFUNCTION("""COMPUTED_VALUE"""),"January")</f>
        <v>January</v>
      </c>
      <c r="AR206" s="19">
        <f>IFERROR(__xludf.DUMMYFUNCTION("""COMPUTED_VALUE"""),1.0)</f>
        <v>1</v>
      </c>
    </row>
    <row r="207">
      <c r="A207" s="13"/>
      <c r="B207" s="41"/>
      <c r="D207" s="12"/>
      <c r="E207" s="14"/>
      <c r="F207" s="14"/>
      <c r="M207" s="14"/>
      <c r="AL207" s="19" t="str">
        <f>IFERROR(__xludf.DUMMYFUNCTION("""COMPUTED_VALUE"""),"RV BAYANIHAN LENDING Total")</f>
        <v>RV BAYANIHAN LENDING Total</v>
      </c>
      <c r="AM207" s="19"/>
      <c r="AN207" s="19">
        <f>IFERROR(__xludf.DUMMYFUNCTION("""COMPUTED_VALUE"""),1.0)</f>
        <v>1</v>
      </c>
      <c r="AP207" s="19" t="str">
        <f>IFERROR(__xludf.DUMMYFUNCTION("""COMPUTED_VALUE"""),"RV BAYANIHAN LENDING Total")</f>
        <v>RV BAYANIHAN LENDING Total</v>
      </c>
      <c r="AQ207" s="19"/>
      <c r="AR207" s="19">
        <f>IFERROR(__xludf.DUMMYFUNCTION("""COMPUTED_VALUE"""),1.0)</f>
        <v>1</v>
      </c>
    </row>
    <row r="208">
      <c r="A208" s="13"/>
      <c r="B208" s="41"/>
      <c r="D208" s="12"/>
      <c r="E208" s="14"/>
      <c r="F208" s="14"/>
      <c r="M208" s="14"/>
      <c r="AL208" s="19" t="str">
        <f>IFERROR(__xludf.DUMMYFUNCTION("""COMPUTED_VALUE"""),"SEADOVE MARITIME SERVICES INC.")</f>
        <v>SEADOVE MARITIME SERVICES INC.</v>
      </c>
      <c r="AM208" s="19" t="str">
        <f>IFERROR(__xludf.DUMMYFUNCTION("""COMPUTED_VALUE"""),"January")</f>
        <v>January</v>
      </c>
      <c r="AN208" s="19">
        <f>IFERROR(__xludf.DUMMYFUNCTION("""COMPUTED_VALUE"""),2.0)</f>
        <v>2</v>
      </c>
      <c r="AP208" s="19" t="str">
        <f>IFERROR(__xludf.DUMMYFUNCTION("""COMPUTED_VALUE"""),"SEADOVE MARITIME SERVICES INC.")</f>
        <v>SEADOVE MARITIME SERVICES INC.</v>
      </c>
      <c r="AQ208" s="19" t="str">
        <f>IFERROR(__xludf.DUMMYFUNCTION("""COMPUTED_VALUE"""),"January")</f>
        <v>January</v>
      </c>
      <c r="AR208" s="19">
        <f>IFERROR(__xludf.DUMMYFUNCTION("""COMPUTED_VALUE"""),2.0)</f>
        <v>2</v>
      </c>
    </row>
    <row r="209">
      <c r="A209" s="13"/>
      <c r="B209" s="41"/>
      <c r="D209" s="12"/>
      <c r="E209" s="14"/>
      <c r="F209" s="14"/>
      <c r="M209" s="14"/>
      <c r="AL209" s="19" t="str">
        <f>IFERROR(__xludf.DUMMYFUNCTION("""COMPUTED_VALUE"""),"SEADOVE MARITIME SERVICES INC. Total")</f>
        <v>SEADOVE MARITIME SERVICES INC. Total</v>
      </c>
      <c r="AM209" s="19"/>
      <c r="AN209" s="19">
        <f>IFERROR(__xludf.DUMMYFUNCTION("""COMPUTED_VALUE"""),2.0)</f>
        <v>2</v>
      </c>
      <c r="AP209" s="19" t="str">
        <f>IFERROR(__xludf.DUMMYFUNCTION("""COMPUTED_VALUE"""),"SEADOVE MARITIME SERVICES INC. Total")</f>
        <v>SEADOVE MARITIME SERVICES INC. Total</v>
      </c>
      <c r="AQ209" s="19"/>
      <c r="AR209" s="19">
        <f>IFERROR(__xludf.DUMMYFUNCTION("""COMPUTED_VALUE"""),2.0)</f>
        <v>2</v>
      </c>
    </row>
    <row r="210">
      <c r="A210" s="13"/>
      <c r="B210" s="41"/>
      <c r="D210" s="12"/>
      <c r="E210" s="14"/>
      <c r="F210" s="14"/>
      <c r="M210" s="14"/>
      <c r="AL210" s="19" t="str">
        <f>IFERROR(__xludf.DUMMYFUNCTION("""COMPUTED_VALUE"""),"SF &amp; F TRUCKING SERVICES")</f>
        <v>SF &amp; F TRUCKING SERVICES</v>
      </c>
      <c r="AM210" s="19" t="str">
        <f>IFERROR(__xludf.DUMMYFUNCTION("""COMPUTED_VALUE"""),"February")</f>
        <v>February</v>
      </c>
      <c r="AN210" s="19">
        <f>IFERROR(__xludf.DUMMYFUNCTION("""COMPUTED_VALUE"""),1.0)</f>
        <v>1</v>
      </c>
      <c r="AP210" s="19" t="str">
        <f>IFERROR(__xludf.DUMMYFUNCTION("""COMPUTED_VALUE"""),"SF &amp; F TRUCKING SERVICES")</f>
        <v>SF &amp; F TRUCKING SERVICES</v>
      </c>
      <c r="AQ210" s="19" t="str">
        <f>IFERROR(__xludf.DUMMYFUNCTION("""COMPUTED_VALUE"""),"February")</f>
        <v>February</v>
      </c>
      <c r="AR210" s="19">
        <f>IFERROR(__xludf.DUMMYFUNCTION("""COMPUTED_VALUE"""),1.0)</f>
        <v>1</v>
      </c>
    </row>
    <row r="211">
      <c r="A211" s="13"/>
      <c r="B211" s="41"/>
      <c r="D211" s="12"/>
      <c r="E211" s="14"/>
      <c r="F211" s="14"/>
      <c r="M211" s="14"/>
      <c r="AL211" s="19" t="str">
        <f>IFERROR(__xludf.DUMMYFUNCTION("""COMPUTED_VALUE"""),"SF &amp; F TRUCKING SERVICES Total")</f>
        <v>SF &amp; F TRUCKING SERVICES Total</v>
      </c>
      <c r="AM211" s="19"/>
      <c r="AN211" s="19">
        <f>IFERROR(__xludf.DUMMYFUNCTION("""COMPUTED_VALUE"""),1.0)</f>
        <v>1</v>
      </c>
      <c r="AP211" s="19" t="str">
        <f>IFERROR(__xludf.DUMMYFUNCTION("""COMPUTED_VALUE"""),"SF &amp; F TRUCKING SERVICES Total")</f>
        <v>SF &amp; F TRUCKING SERVICES Total</v>
      </c>
      <c r="AQ211" s="19"/>
      <c r="AR211" s="19">
        <f>IFERROR(__xludf.DUMMYFUNCTION("""COMPUTED_VALUE"""),1.0)</f>
        <v>1</v>
      </c>
    </row>
    <row r="212">
      <c r="A212" s="13"/>
      <c r="B212" s="41"/>
      <c r="D212" s="12"/>
      <c r="E212" s="14"/>
      <c r="F212" s="14"/>
      <c r="M212" s="14"/>
      <c r="AL212" s="19" t="str">
        <f>IFERROR(__xludf.DUMMYFUNCTION("""COMPUTED_VALUE"""),"SHIMADZU PHILS. CORP")</f>
        <v>SHIMADZU PHILS. CORP</v>
      </c>
      <c r="AM212" s="19" t="str">
        <f>IFERROR(__xludf.DUMMYFUNCTION("""COMPUTED_VALUE"""),"February")</f>
        <v>February</v>
      </c>
      <c r="AN212" s="19">
        <f>IFERROR(__xludf.DUMMYFUNCTION("""COMPUTED_VALUE"""),2.0)</f>
        <v>2</v>
      </c>
      <c r="AP212" s="19" t="str">
        <f>IFERROR(__xludf.DUMMYFUNCTION("""COMPUTED_VALUE"""),"SHIMADZU PHILS. CORP")</f>
        <v>SHIMADZU PHILS. CORP</v>
      </c>
      <c r="AQ212" s="19" t="str">
        <f>IFERROR(__xludf.DUMMYFUNCTION("""COMPUTED_VALUE"""),"February")</f>
        <v>February</v>
      </c>
      <c r="AR212" s="19">
        <f>IFERROR(__xludf.DUMMYFUNCTION("""COMPUTED_VALUE"""),2.0)</f>
        <v>2</v>
      </c>
    </row>
    <row r="213">
      <c r="A213" s="13"/>
      <c r="B213" s="41"/>
      <c r="D213" s="12"/>
      <c r="E213" s="14"/>
      <c r="F213" s="14"/>
      <c r="M213" s="14"/>
      <c r="AL213" s="19" t="str">
        <f>IFERROR(__xludf.DUMMYFUNCTION("""COMPUTED_VALUE"""),"SHIMADZU PHILS. CORP Total")</f>
        <v>SHIMADZU PHILS. CORP Total</v>
      </c>
      <c r="AM213" s="19"/>
      <c r="AN213" s="19">
        <f>IFERROR(__xludf.DUMMYFUNCTION("""COMPUTED_VALUE"""),2.0)</f>
        <v>2</v>
      </c>
      <c r="AP213" s="19" t="str">
        <f>IFERROR(__xludf.DUMMYFUNCTION("""COMPUTED_VALUE"""),"SHIMADZU PHILS. CORP Total")</f>
        <v>SHIMADZU PHILS. CORP Total</v>
      </c>
      <c r="AQ213" s="19"/>
      <c r="AR213" s="19">
        <f>IFERROR(__xludf.DUMMYFUNCTION("""COMPUTED_VALUE"""),2.0)</f>
        <v>2</v>
      </c>
    </row>
    <row r="214">
      <c r="A214" s="13"/>
      <c r="B214" s="41"/>
      <c r="D214" s="12"/>
      <c r="E214" s="14"/>
      <c r="F214" s="14"/>
      <c r="M214" s="14"/>
      <c r="AL214" s="19" t="str">
        <f>IFERROR(__xludf.DUMMYFUNCTION("""COMPUTED_VALUE"""),"SILANGAN MULTI-PURPOSE COOPERATIVE - BUHANGIN")</f>
        <v>SILANGAN MULTI-PURPOSE COOPERATIVE - BUHANGIN</v>
      </c>
      <c r="AM214" s="19" t="str">
        <f>IFERROR(__xludf.DUMMYFUNCTION("""COMPUTED_VALUE"""),"January")</f>
        <v>January</v>
      </c>
      <c r="AN214" s="19">
        <f>IFERROR(__xludf.DUMMYFUNCTION("""COMPUTED_VALUE"""),1.0)</f>
        <v>1</v>
      </c>
      <c r="AP214" s="19" t="str">
        <f>IFERROR(__xludf.DUMMYFUNCTION("""COMPUTED_VALUE"""),"SILANGAN MULTI-PURPOSE COOPERATIVE - BUHANGIN")</f>
        <v>SILANGAN MULTI-PURPOSE COOPERATIVE - BUHANGIN</v>
      </c>
      <c r="AQ214" s="19" t="str">
        <f>IFERROR(__xludf.DUMMYFUNCTION("""COMPUTED_VALUE"""),"January")</f>
        <v>January</v>
      </c>
      <c r="AR214" s="19">
        <f>IFERROR(__xludf.DUMMYFUNCTION("""COMPUTED_VALUE"""),1.0)</f>
        <v>1</v>
      </c>
    </row>
    <row r="215">
      <c r="A215" s="13"/>
      <c r="B215" s="41"/>
      <c r="D215" s="12"/>
      <c r="E215" s="14"/>
      <c r="F215" s="14"/>
      <c r="M215" s="14"/>
      <c r="AL215" s="19" t="str">
        <f>IFERROR(__xludf.DUMMYFUNCTION("""COMPUTED_VALUE"""),"SILANGAN MULTI-PURPOSE COOPERATIVE - BUHANGIN Total")</f>
        <v>SILANGAN MULTI-PURPOSE COOPERATIVE - BUHANGIN Total</v>
      </c>
      <c r="AM215" s="19"/>
      <c r="AN215" s="19">
        <f>IFERROR(__xludf.DUMMYFUNCTION("""COMPUTED_VALUE"""),1.0)</f>
        <v>1</v>
      </c>
      <c r="AP215" s="19" t="str">
        <f>IFERROR(__xludf.DUMMYFUNCTION("""COMPUTED_VALUE"""),"SILANGAN MULTI-PURPOSE COOPERATIVE - BUHANGIN Total")</f>
        <v>SILANGAN MULTI-PURPOSE COOPERATIVE - BUHANGIN Total</v>
      </c>
      <c r="AQ215" s="19"/>
      <c r="AR215" s="19">
        <f>IFERROR(__xludf.DUMMYFUNCTION("""COMPUTED_VALUE"""),1.0)</f>
        <v>1</v>
      </c>
    </row>
    <row r="216">
      <c r="A216" s="13"/>
      <c r="B216" s="41"/>
      <c r="D216" s="12"/>
      <c r="E216" s="14"/>
      <c r="F216" s="14"/>
      <c r="M216" s="14"/>
      <c r="AL216" s="19" t="str">
        <f>IFERROR(__xludf.DUMMYFUNCTION("""COMPUTED_VALUE"""),"SIMC")</f>
        <v>SIMC</v>
      </c>
      <c r="AM216" s="19" t="str">
        <f>IFERROR(__xludf.DUMMYFUNCTION("""COMPUTED_VALUE"""),"January")</f>
        <v>January</v>
      </c>
      <c r="AN216" s="19">
        <f>IFERROR(__xludf.DUMMYFUNCTION("""COMPUTED_VALUE"""),4.0)</f>
        <v>4</v>
      </c>
      <c r="AP216" s="19" t="str">
        <f>IFERROR(__xludf.DUMMYFUNCTION("""COMPUTED_VALUE"""),"SIMC")</f>
        <v>SIMC</v>
      </c>
      <c r="AQ216" s="19" t="str">
        <f>IFERROR(__xludf.DUMMYFUNCTION("""COMPUTED_VALUE"""),"January")</f>
        <v>January</v>
      </c>
      <c r="AR216" s="19">
        <f>IFERROR(__xludf.DUMMYFUNCTION("""COMPUTED_VALUE"""),4.0)</f>
        <v>4</v>
      </c>
    </row>
    <row r="217">
      <c r="A217" s="13"/>
      <c r="B217" s="41"/>
      <c r="D217" s="12"/>
      <c r="E217" s="14"/>
      <c r="F217" s="14"/>
      <c r="M217" s="14"/>
      <c r="AL217" s="19" t="str">
        <f>IFERROR(__xludf.DUMMYFUNCTION("""COMPUTED_VALUE"""),"SIMC Total")</f>
        <v>SIMC Total</v>
      </c>
      <c r="AM217" s="19"/>
      <c r="AN217" s="19">
        <f>IFERROR(__xludf.DUMMYFUNCTION("""COMPUTED_VALUE"""),4.0)</f>
        <v>4</v>
      </c>
      <c r="AP217" s="19" t="str">
        <f>IFERROR(__xludf.DUMMYFUNCTION("""COMPUTED_VALUE"""),"SIMC Total")</f>
        <v>SIMC Total</v>
      </c>
      <c r="AQ217" s="19"/>
      <c r="AR217" s="19">
        <f>IFERROR(__xludf.DUMMYFUNCTION("""COMPUTED_VALUE"""),4.0)</f>
        <v>4</v>
      </c>
    </row>
    <row r="218">
      <c r="A218" s="13"/>
      <c r="B218" s="41"/>
      <c r="D218" s="12"/>
      <c r="E218" s="14"/>
      <c r="F218" s="14"/>
      <c r="M218" s="14"/>
      <c r="AL218" s="19" t="str">
        <f>IFERROR(__xludf.DUMMYFUNCTION("""COMPUTED_VALUE"""),"SOUTHERN HARVEST INCORPORATED")</f>
        <v>SOUTHERN HARVEST INCORPORATED</v>
      </c>
      <c r="AM218" s="19" t="str">
        <f>IFERROR(__xludf.DUMMYFUNCTION("""COMPUTED_VALUE"""),"February")</f>
        <v>February</v>
      </c>
      <c r="AN218" s="19">
        <f>IFERROR(__xludf.DUMMYFUNCTION("""COMPUTED_VALUE"""),1.0)</f>
        <v>1</v>
      </c>
      <c r="AP218" s="19" t="str">
        <f>IFERROR(__xludf.DUMMYFUNCTION("""COMPUTED_VALUE"""),"SOUTHERN HARVEST INCORPORATED")</f>
        <v>SOUTHERN HARVEST INCORPORATED</v>
      </c>
      <c r="AQ218" s="19" t="str">
        <f>IFERROR(__xludf.DUMMYFUNCTION("""COMPUTED_VALUE"""),"February")</f>
        <v>February</v>
      </c>
      <c r="AR218" s="19">
        <f>IFERROR(__xludf.DUMMYFUNCTION("""COMPUTED_VALUE"""),1.0)</f>
        <v>1</v>
      </c>
    </row>
    <row r="219">
      <c r="A219" s="13"/>
      <c r="B219" s="41"/>
      <c r="D219" s="12"/>
      <c r="E219" s="14"/>
      <c r="F219" s="14"/>
      <c r="M219" s="14"/>
      <c r="AL219" s="19" t="str">
        <f>IFERROR(__xludf.DUMMYFUNCTION("""COMPUTED_VALUE"""),"SOUTHERN HARVEST INCORPORATED Total")</f>
        <v>SOUTHERN HARVEST INCORPORATED Total</v>
      </c>
      <c r="AM219" s="19"/>
      <c r="AN219" s="19">
        <f>IFERROR(__xludf.DUMMYFUNCTION("""COMPUTED_VALUE"""),1.0)</f>
        <v>1</v>
      </c>
      <c r="AP219" s="19" t="str">
        <f>IFERROR(__xludf.DUMMYFUNCTION("""COMPUTED_VALUE"""),"SOUTHERN HARVEST INCORPORATED Total")</f>
        <v>SOUTHERN HARVEST INCORPORATED Total</v>
      </c>
      <c r="AQ219" s="19"/>
      <c r="AR219" s="19">
        <f>IFERROR(__xludf.DUMMYFUNCTION("""COMPUTED_VALUE"""),1.0)</f>
        <v>1</v>
      </c>
    </row>
    <row r="220">
      <c r="A220" s="13"/>
      <c r="B220" s="41"/>
      <c r="D220" s="12"/>
      <c r="E220" s="14"/>
      <c r="F220" s="14"/>
      <c r="M220" s="14"/>
      <c r="AL220" s="19" t="str">
        <f>IFERROR(__xludf.DUMMYFUNCTION("""COMPUTED_VALUE"""),"SPAMAST")</f>
        <v>SPAMAST</v>
      </c>
      <c r="AM220" s="19" t="str">
        <f>IFERROR(__xludf.DUMMYFUNCTION("""COMPUTED_VALUE"""),"February")</f>
        <v>February</v>
      </c>
      <c r="AN220" s="19">
        <f>IFERROR(__xludf.DUMMYFUNCTION("""COMPUTED_VALUE"""),1.0)</f>
        <v>1</v>
      </c>
      <c r="AP220" s="19" t="str">
        <f>IFERROR(__xludf.DUMMYFUNCTION("""COMPUTED_VALUE"""),"SPAMAST")</f>
        <v>SPAMAST</v>
      </c>
      <c r="AQ220" s="19" t="str">
        <f>IFERROR(__xludf.DUMMYFUNCTION("""COMPUTED_VALUE"""),"February")</f>
        <v>February</v>
      </c>
      <c r="AR220" s="19">
        <f>IFERROR(__xludf.DUMMYFUNCTION("""COMPUTED_VALUE"""),1.0)</f>
        <v>1</v>
      </c>
    </row>
    <row r="221">
      <c r="A221" s="13"/>
      <c r="B221" s="41"/>
      <c r="D221" s="12"/>
      <c r="E221" s="14"/>
      <c r="F221" s="14"/>
      <c r="M221" s="14"/>
      <c r="AL221" s="19"/>
      <c r="AM221" s="19" t="str">
        <f>IFERROR(__xludf.DUMMYFUNCTION("""COMPUTED_VALUE"""),"January")</f>
        <v>January</v>
      </c>
      <c r="AN221" s="19">
        <f>IFERROR(__xludf.DUMMYFUNCTION("""COMPUTED_VALUE"""),1.0)</f>
        <v>1</v>
      </c>
      <c r="AP221" s="19"/>
      <c r="AQ221" s="19" t="str">
        <f>IFERROR(__xludf.DUMMYFUNCTION("""COMPUTED_VALUE"""),"January")</f>
        <v>January</v>
      </c>
      <c r="AR221" s="19">
        <f>IFERROR(__xludf.DUMMYFUNCTION("""COMPUTED_VALUE"""),1.0)</f>
        <v>1</v>
      </c>
    </row>
    <row r="222">
      <c r="A222" s="13"/>
      <c r="B222" s="41"/>
      <c r="D222" s="12"/>
      <c r="E222" s="14"/>
      <c r="F222" s="14"/>
      <c r="M222" s="14"/>
      <c r="AL222" s="19" t="str">
        <f>IFERROR(__xludf.DUMMYFUNCTION("""COMPUTED_VALUE"""),"SPAMAST Total")</f>
        <v>SPAMAST Total</v>
      </c>
      <c r="AM222" s="19"/>
      <c r="AN222" s="19">
        <f>IFERROR(__xludf.DUMMYFUNCTION("""COMPUTED_VALUE"""),2.0)</f>
        <v>2</v>
      </c>
      <c r="AP222" s="19" t="str">
        <f>IFERROR(__xludf.DUMMYFUNCTION("""COMPUTED_VALUE"""),"SPAMAST Total")</f>
        <v>SPAMAST Total</v>
      </c>
      <c r="AQ222" s="19"/>
      <c r="AR222" s="19">
        <f>IFERROR(__xludf.DUMMYFUNCTION("""COMPUTED_VALUE"""),2.0)</f>
        <v>2</v>
      </c>
    </row>
    <row r="223">
      <c r="A223" s="13"/>
      <c r="B223" s="41"/>
      <c r="D223" s="12"/>
      <c r="E223" s="14"/>
      <c r="F223" s="14"/>
      <c r="M223" s="14"/>
      <c r="AL223" s="19" t="str">
        <f>IFERROR(__xludf.DUMMYFUNCTION("""COMPUTED_VALUE"""),"STAR PAPER CORPORATION")</f>
        <v>STAR PAPER CORPORATION</v>
      </c>
      <c r="AM223" s="19" t="str">
        <f>IFERROR(__xludf.DUMMYFUNCTION("""COMPUTED_VALUE"""),"February")</f>
        <v>February</v>
      </c>
      <c r="AN223" s="19">
        <f>IFERROR(__xludf.DUMMYFUNCTION("""COMPUTED_VALUE"""),1.0)</f>
        <v>1</v>
      </c>
      <c r="AP223" s="19" t="str">
        <f>IFERROR(__xludf.DUMMYFUNCTION("""COMPUTED_VALUE"""),"STAR PAPER CORPORATION")</f>
        <v>STAR PAPER CORPORATION</v>
      </c>
      <c r="AQ223" s="19" t="str">
        <f>IFERROR(__xludf.DUMMYFUNCTION("""COMPUTED_VALUE"""),"February")</f>
        <v>February</v>
      </c>
      <c r="AR223" s="19">
        <f>IFERROR(__xludf.DUMMYFUNCTION("""COMPUTED_VALUE"""),1.0)</f>
        <v>1</v>
      </c>
    </row>
    <row r="224">
      <c r="A224" s="13"/>
      <c r="B224" s="41"/>
      <c r="D224" s="12"/>
      <c r="E224" s="14"/>
      <c r="F224" s="14"/>
      <c r="M224" s="14"/>
      <c r="AL224" s="19"/>
      <c r="AM224" s="19" t="str">
        <f>IFERROR(__xludf.DUMMYFUNCTION("""COMPUTED_VALUE"""),"January")</f>
        <v>January</v>
      </c>
      <c r="AN224" s="19">
        <f>IFERROR(__xludf.DUMMYFUNCTION("""COMPUTED_VALUE"""),1.0)</f>
        <v>1</v>
      </c>
      <c r="AP224" s="19"/>
      <c r="AQ224" s="19" t="str">
        <f>IFERROR(__xludf.DUMMYFUNCTION("""COMPUTED_VALUE"""),"January")</f>
        <v>January</v>
      </c>
      <c r="AR224" s="19">
        <f>IFERROR(__xludf.DUMMYFUNCTION("""COMPUTED_VALUE"""),1.0)</f>
        <v>1</v>
      </c>
    </row>
    <row r="225">
      <c r="A225" s="13"/>
      <c r="B225" s="41"/>
      <c r="D225" s="12"/>
      <c r="E225" s="14"/>
      <c r="F225" s="14"/>
      <c r="M225" s="14"/>
      <c r="AL225" s="19" t="str">
        <f>IFERROR(__xludf.DUMMYFUNCTION("""COMPUTED_VALUE"""),"STAR PAPER CORPORATION Total")</f>
        <v>STAR PAPER CORPORATION Total</v>
      </c>
      <c r="AM225" s="19"/>
      <c r="AN225" s="19">
        <f>IFERROR(__xludf.DUMMYFUNCTION("""COMPUTED_VALUE"""),2.0)</f>
        <v>2</v>
      </c>
      <c r="AP225" s="19" t="str">
        <f>IFERROR(__xludf.DUMMYFUNCTION("""COMPUTED_VALUE"""),"STAR PAPER CORPORATION Total")</f>
        <v>STAR PAPER CORPORATION Total</v>
      </c>
      <c r="AQ225" s="19"/>
      <c r="AR225" s="19">
        <f>IFERROR(__xludf.DUMMYFUNCTION("""COMPUTED_VALUE"""),2.0)</f>
        <v>2</v>
      </c>
    </row>
    <row r="226">
      <c r="A226" s="13"/>
      <c r="B226" s="41"/>
      <c r="D226" s="12"/>
      <c r="E226" s="14"/>
      <c r="F226" s="14"/>
      <c r="M226" s="14"/>
      <c r="AL226" s="19" t="str">
        <f>IFERROR(__xludf.DUMMYFUNCTION("""COMPUTED_VALUE"""),"STENIEL MINDANAO PACKAGING CORPORATION")</f>
        <v>STENIEL MINDANAO PACKAGING CORPORATION</v>
      </c>
      <c r="AM226" s="19" t="str">
        <f>IFERROR(__xludf.DUMMYFUNCTION("""COMPUTED_VALUE"""),"February")</f>
        <v>February</v>
      </c>
      <c r="AN226" s="19">
        <f>IFERROR(__xludf.DUMMYFUNCTION("""COMPUTED_VALUE"""),5.0)</f>
        <v>5</v>
      </c>
      <c r="AP226" s="19" t="str">
        <f>IFERROR(__xludf.DUMMYFUNCTION("""COMPUTED_VALUE"""),"STENIEL MINDANAO PACKAGING CORPORATION")</f>
        <v>STENIEL MINDANAO PACKAGING CORPORATION</v>
      </c>
      <c r="AQ226" s="19" t="str">
        <f>IFERROR(__xludf.DUMMYFUNCTION("""COMPUTED_VALUE"""),"February")</f>
        <v>February</v>
      </c>
      <c r="AR226" s="19">
        <f>IFERROR(__xludf.DUMMYFUNCTION("""COMPUTED_VALUE"""),5.0)</f>
        <v>5</v>
      </c>
    </row>
    <row r="227">
      <c r="A227" s="13"/>
      <c r="B227" s="41"/>
      <c r="D227" s="12"/>
      <c r="E227" s="14"/>
      <c r="F227" s="14"/>
      <c r="M227" s="14"/>
      <c r="AL227" s="19"/>
      <c r="AM227" s="19" t="str">
        <f>IFERROR(__xludf.DUMMYFUNCTION("""COMPUTED_VALUE"""),"January")</f>
        <v>January</v>
      </c>
      <c r="AN227" s="19">
        <f>IFERROR(__xludf.DUMMYFUNCTION("""COMPUTED_VALUE"""),9.0)</f>
        <v>9</v>
      </c>
      <c r="AP227" s="19"/>
      <c r="AQ227" s="19" t="str">
        <f>IFERROR(__xludf.DUMMYFUNCTION("""COMPUTED_VALUE"""),"January")</f>
        <v>January</v>
      </c>
      <c r="AR227" s="19">
        <f>IFERROR(__xludf.DUMMYFUNCTION("""COMPUTED_VALUE"""),9.0)</f>
        <v>9</v>
      </c>
    </row>
    <row r="228">
      <c r="A228" s="13"/>
      <c r="B228" s="41"/>
      <c r="D228" s="12"/>
      <c r="E228" s="14"/>
      <c r="F228" s="14"/>
      <c r="M228" s="14"/>
      <c r="AL228" s="19" t="str">
        <f>IFERROR(__xludf.DUMMYFUNCTION("""COMPUTED_VALUE"""),"STENIEL MINDANAO PACKAGING CORPORATION Total")</f>
        <v>STENIEL MINDANAO PACKAGING CORPORATION Total</v>
      </c>
      <c r="AM228" s="19"/>
      <c r="AN228" s="19">
        <f>IFERROR(__xludf.DUMMYFUNCTION("""COMPUTED_VALUE"""),14.0)</f>
        <v>14</v>
      </c>
      <c r="AP228" s="19" t="str">
        <f>IFERROR(__xludf.DUMMYFUNCTION("""COMPUTED_VALUE"""),"STENIEL MINDANAO PACKAGING CORPORATION Total")</f>
        <v>STENIEL MINDANAO PACKAGING CORPORATION Total</v>
      </c>
      <c r="AQ228" s="19"/>
      <c r="AR228" s="19">
        <f>IFERROR(__xludf.DUMMYFUNCTION("""COMPUTED_VALUE"""),14.0)</f>
        <v>14</v>
      </c>
    </row>
    <row r="229">
      <c r="A229" s="13"/>
      <c r="B229" s="41"/>
      <c r="D229" s="12"/>
      <c r="E229" s="14"/>
      <c r="F229" s="14"/>
      <c r="M229" s="14"/>
      <c r="AL229" s="19" t="str">
        <f>IFERROR(__xludf.DUMMYFUNCTION("""COMPUTED_VALUE"""),"STERLING BANK OF ASIA - BAJADA")</f>
        <v>STERLING BANK OF ASIA - BAJADA</v>
      </c>
      <c r="AM229" s="19" t="str">
        <f>IFERROR(__xludf.DUMMYFUNCTION("""COMPUTED_VALUE"""),"January")</f>
        <v>January</v>
      </c>
      <c r="AN229" s="19">
        <f>IFERROR(__xludf.DUMMYFUNCTION("""COMPUTED_VALUE"""),1.0)</f>
        <v>1</v>
      </c>
      <c r="AP229" s="19" t="str">
        <f>IFERROR(__xludf.DUMMYFUNCTION("""COMPUTED_VALUE"""),"STERLING BANK OF ASIA - BAJADA")</f>
        <v>STERLING BANK OF ASIA - BAJADA</v>
      </c>
      <c r="AQ229" s="19" t="str">
        <f>IFERROR(__xludf.DUMMYFUNCTION("""COMPUTED_VALUE"""),"January")</f>
        <v>January</v>
      </c>
      <c r="AR229" s="19">
        <f>IFERROR(__xludf.DUMMYFUNCTION("""COMPUTED_VALUE"""),1.0)</f>
        <v>1</v>
      </c>
    </row>
    <row r="230">
      <c r="A230" s="13"/>
      <c r="B230" s="41"/>
      <c r="D230" s="12"/>
      <c r="E230" s="14"/>
      <c r="F230" s="14"/>
      <c r="M230" s="14"/>
      <c r="AL230" s="19" t="str">
        <f>IFERROR(__xludf.DUMMYFUNCTION("""COMPUTED_VALUE"""),"STERLING BANK OF ASIA - BAJADA Total")</f>
        <v>STERLING BANK OF ASIA - BAJADA Total</v>
      </c>
      <c r="AM230" s="19"/>
      <c r="AN230" s="19">
        <f>IFERROR(__xludf.DUMMYFUNCTION("""COMPUTED_VALUE"""),1.0)</f>
        <v>1</v>
      </c>
      <c r="AP230" s="19" t="str">
        <f>IFERROR(__xludf.DUMMYFUNCTION("""COMPUTED_VALUE"""),"STERLING BANK OF ASIA - BAJADA Total")</f>
        <v>STERLING BANK OF ASIA - BAJADA Total</v>
      </c>
      <c r="AQ230" s="19"/>
      <c r="AR230" s="19">
        <f>IFERROR(__xludf.DUMMYFUNCTION("""COMPUTED_VALUE"""),1.0)</f>
        <v>1</v>
      </c>
    </row>
    <row r="231">
      <c r="A231" s="13"/>
      <c r="B231" s="41"/>
      <c r="D231" s="12"/>
      <c r="E231" s="14"/>
      <c r="F231" s="14"/>
      <c r="M231" s="14"/>
      <c r="AL231" s="19" t="str">
        <f>IFERROR(__xludf.DUMMYFUNCTION("""COMPUTED_VALUE"""),"SUNFRESH AGRICULTURAL VENTURES INC.")</f>
        <v>SUNFRESH AGRICULTURAL VENTURES INC.</v>
      </c>
      <c r="AM231" s="19" t="str">
        <f>IFERROR(__xludf.DUMMYFUNCTION("""COMPUTED_VALUE"""),"January")</f>
        <v>January</v>
      </c>
      <c r="AN231" s="19">
        <f>IFERROR(__xludf.DUMMYFUNCTION("""COMPUTED_VALUE"""),1.0)</f>
        <v>1</v>
      </c>
      <c r="AP231" s="19" t="str">
        <f>IFERROR(__xludf.DUMMYFUNCTION("""COMPUTED_VALUE"""),"SUNFRESH AGRICULTURAL VENTURES INC.")</f>
        <v>SUNFRESH AGRICULTURAL VENTURES INC.</v>
      </c>
      <c r="AQ231" s="19" t="str">
        <f>IFERROR(__xludf.DUMMYFUNCTION("""COMPUTED_VALUE"""),"January")</f>
        <v>January</v>
      </c>
      <c r="AR231" s="19">
        <f>IFERROR(__xludf.DUMMYFUNCTION("""COMPUTED_VALUE"""),1.0)</f>
        <v>1</v>
      </c>
    </row>
    <row r="232">
      <c r="A232" s="13"/>
      <c r="B232" s="41"/>
      <c r="D232" s="12"/>
      <c r="E232" s="14"/>
      <c r="F232" s="14"/>
      <c r="M232" s="14"/>
      <c r="AL232" s="19" t="str">
        <f>IFERROR(__xludf.DUMMYFUNCTION("""COMPUTED_VALUE"""),"SUNFRESH AGRICULTURAL VENTURES INC. Total")</f>
        <v>SUNFRESH AGRICULTURAL VENTURES INC. Total</v>
      </c>
      <c r="AM232" s="19"/>
      <c r="AN232" s="19">
        <f>IFERROR(__xludf.DUMMYFUNCTION("""COMPUTED_VALUE"""),1.0)</f>
        <v>1</v>
      </c>
      <c r="AP232" s="19" t="str">
        <f>IFERROR(__xludf.DUMMYFUNCTION("""COMPUTED_VALUE"""),"SUNFRESH AGRICULTURAL VENTURES INC. Total")</f>
        <v>SUNFRESH AGRICULTURAL VENTURES INC. Total</v>
      </c>
      <c r="AQ232" s="19"/>
      <c r="AR232" s="19">
        <f>IFERROR(__xludf.DUMMYFUNCTION("""COMPUTED_VALUE"""),1.0)</f>
        <v>1</v>
      </c>
    </row>
    <row r="233">
      <c r="A233" s="13"/>
      <c r="B233" s="41"/>
      <c r="D233" s="12"/>
      <c r="E233" s="14"/>
      <c r="F233" s="14"/>
      <c r="M233" s="14"/>
      <c r="AL233" s="19" t="str">
        <f>IFERROR(__xludf.DUMMYFUNCTION("""COMPUTED_VALUE"""),"TRANSNATIONAL AVIATION SUPPORT SERVICES")</f>
        <v>TRANSNATIONAL AVIATION SUPPORT SERVICES</v>
      </c>
      <c r="AM233" s="19" t="str">
        <f>IFERROR(__xludf.DUMMYFUNCTION("""COMPUTED_VALUE"""),"February")</f>
        <v>February</v>
      </c>
      <c r="AN233" s="19">
        <f>IFERROR(__xludf.DUMMYFUNCTION("""COMPUTED_VALUE"""),1.0)</f>
        <v>1</v>
      </c>
      <c r="AP233" s="19" t="str">
        <f>IFERROR(__xludf.DUMMYFUNCTION("""COMPUTED_VALUE"""),"TRANSNATIONAL AVIATION SUPPORT SERVICES")</f>
        <v>TRANSNATIONAL AVIATION SUPPORT SERVICES</v>
      </c>
      <c r="AQ233" s="19" t="str">
        <f>IFERROR(__xludf.DUMMYFUNCTION("""COMPUTED_VALUE"""),"February")</f>
        <v>February</v>
      </c>
      <c r="AR233" s="19">
        <f>IFERROR(__xludf.DUMMYFUNCTION("""COMPUTED_VALUE"""),1.0)</f>
        <v>1</v>
      </c>
    </row>
    <row r="234">
      <c r="A234" s="13"/>
      <c r="B234" s="41"/>
      <c r="D234" s="12"/>
      <c r="E234" s="14"/>
      <c r="F234" s="14"/>
      <c r="M234" s="14"/>
      <c r="AL234" s="19" t="str">
        <f>IFERROR(__xludf.DUMMYFUNCTION("""COMPUTED_VALUE"""),"TRANSNATIONAL AVIATION SUPPORT SERVICES Total")</f>
        <v>TRANSNATIONAL AVIATION SUPPORT SERVICES Total</v>
      </c>
      <c r="AM234" s="19"/>
      <c r="AN234" s="19">
        <f>IFERROR(__xludf.DUMMYFUNCTION("""COMPUTED_VALUE"""),1.0)</f>
        <v>1</v>
      </c>
      <c r="AP234" s="19" t="str">
        <f>IFERROR(__xludf.DUMMYFUNCTION("""COMPUTED_VALUE"""),"TRANSNATIONAL AVIATION SUPPORT SERVICES Total")</f>
        <v>TRANSNATIONAL AVIATION SUPPORT SERVICES Total</v>
      </c>
      <c r="AQ234" s="19"/>
      <c r="AR234" s="19">
        <f>IFERROR(__xludf.DUMMYFUNCTION("""COMPUTED_VALUE"""),1.0)</f>
        <v>1</v>
      </c>
    </row>
    <row r="235">
      <c r="F235" s="14"/>
      <c r="M235" s="14"/>
      <c r="AL235" s="19" t="str">
        <f>IFERROR(__xludf.DUMMYFUNCTION("""COMPUTED_VALUE"""),"TRINITAS FOOD CORP.")</f>
        <v>TRINITAS FOOD CORP.</v>
      </c>
      <c r="AM235" s="19" t="str">
        <f>IFERROR(__xludf.DUMMYFUNCTION("""COMPUTED_VALUE"""),"January")</f>
        <v>January</v>
      </c>
      <c r="AN235" s="19">
        <f>IFERROR(__xludf.DUMMYFUNCTION("""COMPUTED_VALUE"""),2.0)</f>
        <v>2</v>
      </c>
      <c r="AP235" s="19" t="str">
        <f>IFERROR(__xludf.DUMMYFUNCTION("""COMPUTED_VALUE"""),"TRINITAS FOOD CORP.")</f>
        <v>TRINITAS FOOD CORP.</v>
      </c>
      <c r="AQ235" s="19" t="str">
        <f>IFERROR(__xludf.DUMMYFUNCTION("""COMPUTED_VALUE"""),"January")</f>
        <v>January</v>
      </c>
      <c r="AR235" s="19">
        <f>IFERROR(__xludf.DUMMYFUNCTION("""COMPUTED_VALUE"""),2.0)</f>
        <v>2</v>
      </c>
    </row>
    <row r="236">
      <c r="F236" s="14"/>
      <c r="M236" s="14"/>
      <c r="AL236" s="19" t="str">
        <f>IFERROR(__xludf.DUMMYFUNCTION("""COMPUTED_VALUE"""),"TRINITAS FOOD CORP. Total")</f>
        <v>TRINITAS FOOD CORP. Total</v>
      </c>
      <c r="AM236" s="19"/>
      <c r="AN236" s="19">
        <f>IFERROR(__xludf.DUMMYFUNCTION("""COMPUTED_VALUE"""),2.0)</f>
        <v>2</v>
      </c>
      <c r="AP236" s="19" t="str">
        <f>IFERROR(__xludf.DUMMYFUNCTION("""COMPUTED_VALUE"""),"TRINITAS FOOD CORP. Total")</f>
        <v>TRINITAS FOOD CORP. Total</v>
      </c>
      <c r="AQ236" s="19"/>
      <c r="AR236" s="19">
        <f>IFERROR(__xludf.DUMMYFUNCTION("""COMPUTED_VALUE"""),2.0)</f>
        <v>2</v>
      </c>
    </row>
    <row r="237">
      <c r="F237" s="14"/>
      <c r="M237" s="14"/>
      <c r="AL237" s="19" t="str">
        <f>IFERROR(__xludf.DUMMYFUNCTION("""COMPUTED_VALUE"""),"UNIVERSITY OF SOUTHEASTERN PHILS.")</f>
        <v>UNIVERSITY OF SOUTHEASTERN PHILS.</v>
      </c>
      <c r="AM237" s="19" t="str">
        <f>IFERROR(__xludf.DUMMYFUNCTION("""COMPUTED_VALUE"""),"January")</f>
        <v>January</v>
      </c>
      <c r="AN237" s="19">
        <f>IFERROR(__xludf.DUMMYFUNCTION("""COMPUTED_VALUE"""),1.0)</f>
        <v>1</v>
      </c>
      <c r="AP237" s="19" t="str">
        <f>IFERROR(__xludf.DUMMYFUNCTION("""COMPUTED_VALUE"""),"UNIVERSITY OF SOUTHEASTERN PHILS.")</f>
        <v>UNIVERSITY OF SOUTHEASTERN PHILS.</v>
      </c>
      <c r="AQ237" s="19" t="str">
        <f>IFERROR(__xludf.DUMMYFUNCTION("""COMPUTED_VALUE"""),"January")</f>
        <v>January</v>
      </c>
      <c r="AR237" s="19">
        <f>IFERROR(__xludf.DUMMYFUNCTION("""COMPUTED_VALUE"""),1.0)</f>
        <v>1</v>
      </c>
    </row>
    <row r="238">
      <c r="F238" s="14"/>
      <c r="M238" s="14"/>
      <c r="AL238" s="19" t="str">
        <f>IFERROR(__xludf.DUMMYFUNCTION("""COMPUTED_VALUE"""),"UNIVERSITY OF SOUTHEASTERN PHILS. Total")</f>
        <v>UNIVERSITY OF SOUTHEASTERN PHILS. Total</v>
      </c>
      <c r="AM238" s="19"/>
      <c r="AN238" s="19">
        <f>IFERROR(__xludf.DUMMYFUNCTION("""COMPUTED_VALUE"""),1.0)</f>
        <v>1</v>
      </c>
      <c r="AP238" s="19" t="str">
        <f>IFERROR(__xludf.DUMMYFUNCTION("""COMPUTED_VALUE"""),"UNIVERSITY OF SOUTHEASTERN PHILS. Total")</f>
        <v>UNIVERSITY OF SOUTHEASTERN PHILS. Total</v>
      </c>
      <c r="AQ238" s="19"/>
      <c r="AR238" s="19">
        <f>IFERROR(__xludf.DUMMYFUNCTION("""COMPUTED_VALUE"""),1.0)</f>
        <v>1</v>
      </c>
    </row>
    <row r="239">
      <c r="F239" s="14"/>
      <c r="M239" s="14"/>
      <c r="AL239" s="19" t="str">
        <f>IFERROR(__xludf.DUMMYFUNCTION("""COMPUTED_VALUE"""),"UNIVERSITY OF SOUTHERN MINDANAO")</f>
        <v>UNIVERSITY OF SOUTHERN MINDANAO</v>
      </c>
      <c r="AM239" s="19" t="str">
        <f>IFERROR(__xludf.DUMMYFUNCTION("""COMPUTED_VALUE"""),"February")</f>
        <v>February</v>
      </c>
      <c r="AN239" s="19">
        <f>IFERROR(__xludf.DUMMYFUNCTION("""COMPUTED_VALUE"""),1.0)</f>
        <v>1</v>
      </c>
      <c r="AP239" s="19" t="str">
        <f>IFERROR(__xludf.DUMMYFUNCTION("""COMPUTED_VALUE"""),"UNIVERSITY OF SOUTHERN MINDANAO")</f>
        <v>UNIVERSITY OF SOUTHERN MINDANAO</v>
      </c>
      <c r="AQ239" s="19" t="str">
        <f>IFERROR(__xludf.DUMMYFUNCTION("""COMPUTED_VALUE"""),"February")</f>
        <v>February</v>
      </c>
      <c r="AR239" s="19">
        <f>IFERROR(__xludf.DUMMYFUNCTION("""COMPUTED_VALUE"""),1.0)</f>
        <v>1</v>
      </c>
    </row>
    <row r="240">
      <c r="F240" s="14"/>
      <c r="M240" s="14"/>
      <c r="AL240" s="19" t="str">
        <f>IFERROR(__xludf.DUMMYFUNCTION("""COMPUTED_VALUE"""),"UNIVERSITY OF SOUTHERN MINDANAO Total")</f>
        <v>UNIVERSITY OF SOUTHERN MINDANAO Total</v>
      </c>
      <c r="AM240" s="19"/>
      <c r="AN240" s="19">
        <f>IFERROR(__xludf.DUMMYFUNCTION("""COMPUTED_VALUE"""),1.0)</f>
        <v>1</v>
      </c>
      <c r="AP240" s="19" t="str">
        <f>IFERROR(__xludf.DUMMYFUNCTION("""COMPUTED_VALUE"""),"UNIVERSITY OF SOUTHERN MINDANAO Total")</f>
        <v>UNIVERSITY OF SOUTHERN MINDANAO Total</v>
      </c>
      <c r="AQ240" s="19"/>
      <c r="AR240" s="19">
        <f>IFERROR(__xludf.DUMMYFUNCTION("""COMPUTED_VALUE"""),1.0)</f>
        <v>1</v>
      </c>
    </row>
    <row r="241">
      <c r="F241" s="14"/>
      <c r="M241" s="14"/>
      <c r="AL241" s="19" t="str">
        <f>IFERROR(__xludf.DUMMYFUNCTION("""COMPUTED_VALUE"""),"Grand Total")</f>
        <v>Grand Total</v>
      </c>
      <c r="AM241" s="19"/>
      <c r="AN241" s="19">
        <f>IFERROR(__xludf.DUMMYFUNCTION("""COMPUTED_VALUE"""),200.0)</f>
        <v>200</v>
      </c>
    </row>
    <row r="242">
      <c r="F242" s="14"/>
      <c r="M242" s="14"/>
      <c r="AL242" s="19"/>
      <c r="AM242" s="19"/>
      <c r="AN242" s="19"/>
    </row>
    <row r="243">
      <c r="F243" s="14"/>
      <c r="M243" s="14"/>
      <c r="AL243" s="19"/>
      <c r="AM243" s="19"/>
      <c r="AN243" s="19"/>
    </row>
    <row r="244">
      <c r="F244" s="14"/>
      <c r="M244" s="14"/>
      <c r="AL244" s="19"/>
      <c r="AM244" s="19"/>
      <c r="AN244" s="19"/>
    </row>
    <row r="245">
      <c r="A245" s="13"/>
      <c r="B245" s="41"/>
      <c r="D245" s="12"/>
      <c r="E245" s="14"/>
      <c r="F245" s="14"/>
      <c r="M245" s="14"/>
      <c r="AL245" s="19"/>
      <c r="AM245" s="19"/>
      <c r="AN245" s="19"/>
    </row>
    <row r="246">
      <c r="A246" s="13"/>
      <c r="B246" s="41"/>
      <c r="D246" s="12"/>
      <c r="E246" s="14"/>
      <c r="F246" s="14"/>
      <c r="M246" s="14"/>
      <c r="AL246" s="19"/>
      <c r="AM246" s="19"/>
      <c r="AN246" s="19"/>
    </row>
    <row r="247">
      <c r="A247" s="13"/>
      <c r="B247" s="41"/>
      <c r="D247" s="12"/>
      <c r="E247" s="14"/>
      <c r="F247" s="14"/>
      <c r="M247" s="14"/>
      <c r="AL247" s="19"/>
      <c r="AM247" s="19"/>
      <c r="AN247" s="19"/>
    </row>
    <row r="248">
      <c r="A248" s="13"/>
      <c r="B248" s="41"/>
      <c r="D248" s="12"/>
      <c r="E248" s="14"/>
      <c r="F248" s="14"/>
      <c r="M248" s="14"/>
      <c r="AL248" s="19"/>
      <c r="AM248" s="19"/>
      <c r="AN248" s="19"/>
    </row>
    <row r="249">
      <c r="A249" s="13"/>
      <c r="B249" s="41"/>
      <c r="D249" s="12"/>
      <c r="E249" s="14"/>
      <c r="F249" s="14"/>
      <c r="M249" s="14"/>
      <c r="AL249" s="19"/>
      <c r="AM249" s="19"/>
      <c r="AN249" s="19"/>
    </row>
    <row r="250">
      <c r="A250" s="13"/>
      <c r="B250" s="41"/>
      <c r="D250" s="12"/>
      <c r="E250" s="14"/>
      <c r="F250" s="14"/>
      <c r="M250" s="14"/>
      <c r="AL250" s="19"/>
      <c r="AM250" s="19"/>
      <c r="AN250" s="19"/>
    </row>
    <row r="251">
      <c r="A251" s="13"/>
      <c r="B251" s="41"/>
      <c r="D251" s="12"/>
      <c r="E251" s="14"/>
      <c r="F251" s="14"/>
      <c r="M251" s="14"/>
      <c r="AL251" s="19"/>
      <c r="AM251" s="19"/>
      <c r="AN251" s="19"/>
    </row>
    <row r="252">
      <c r="A252" s="13"/>
      <c r="B252" s="41"/>
      <c r="D252" s="12"/>
      <c r="E252" s="14"/>
      <c r="F252" s="14"/>
      <c r="M252" s="14"/>
      <c r="AL252" s="19"/>
      <c r="AM252" s="19"/>
      <c r="AN252" s="19"/>
    </row>
    <row r="253">
      <c r="A253" s="13"/>
      <c r="B253" s="41"/>
      <c r="D253" s="12"/>
      <c r="E253" s="14"/>
      <c r="F253" s="14"/>
      <c r="M253" s="14"/>
      <c r="AL253" s="19"/>
      <c r="AM253" s="19"/>
      <c r="AN253" s="19"/>
    </row>
    <row r="254">
      <c r="A254" s="13"/>
      <c r="B254" s="41"/>
      <c r="D254" s="12"/>
      <c r="E254" s="14"/>
      <c r="F254" s="14"/>
      <c r="M254" s="14"/>
      <c r="AL254" s="19"/>
      <c r="AM254" s="19"/>
      <c r="AN254" s="19"/>
    </row>
    <row r="255">
      <c r="A255" s="13"/>
      <c r="B255" s="41"/>
      <c r="D255" s="12"/>
      <c r="E255" s="14"/>
      <c r="F255" s="14"/>
      <c r="M255" s="14"/>
      <c r="AL255" s="19"/>
      <c r="AM255" s="19"/>
      <c r="AN255" s="19"/>
    </row>
    <row r="256">
      <c r="A256" s="13"/>
      <c r="B256" s="41"/>
      <c r="D256" s="12"/>
      <c r="E256" s="14"/>
      <c r="F256" s="14"/>
      <c r="M256" s="14"/>
      <c r="AL256" s="19"/>
      <c r="AM256" s="19"/>
      <c r="AN256" s="19"/>
    </row>
    <row r="257">
      <c r="A257" s="13"/>
      <c r="B257" s="41"/>
      <c r="D257" s="12"/>
      <c r="E257" s="14"/>
      <c r="F257" s="14"/>
      <c r="M257" s="14"/>
      <c r="AL257" s="19"/>
      <c r="AM257" s="19"/>
      <c r="AN257" s="19"/>
    </row>
    <row r="258">
      <c r="A258" s="13"/>
      <c r="B258" s="41"/>
      <c r="D258" s="12"/>
      <c r="E258" s="14"/>
      <c r="F258" s="14"/>
      <c r="M258" s="14"/>
      <c r="AL258" s="19"/>
      <c r="AM258" s="19"/>
      <c r="AN258" s="19"/>
    </row>
    <row r="259">
      <c r="A259" s="13"/>
      <c r="B259" s="41"/>
      <c r="D259" s="12"/>
      <c r="E259" s="14"/>
      <c r="F259" s="14"/>
      <c r="M259" s="14"/>
      <c r="AL259" s="19"/>
      <c r="AM259" s="19"/>
      <c r="AN259" s="19"/>
    </row>
    <row r="260">
      <c r="A260" s="13"/>
      <c r="B260" s="41"/>
      <c r="D260" s="12"/>
      <c r="E260" s="14"/>
      <c r="F260" s="14"/>
      <c r="M260" s="14"/>
      <c r="AL260" s="19"/>
      <c r="AM260" s="19"/>
      <c r="AN260" s="19"/>
    </row>
    <row r="261">
      <c r="A261" s="13"/>
      <c r="B261" s="41"/>
      <c r="D261" s="12"/>
      <c r="E261" s="14"/>
      <c r="F261" s="14"/>
      <c r="M261" s="14"/>
      <c r="AL261" s="19"/>
      <c r="AM261" s="19"/>
      <c r="AN261" s="19"/>
    </row>
    <row r="262">
      <c r="A262" s="13"/>
      <c r="B262" s="41"/>
      <c r="D262" s="12"/>
      <c r="E262" s="14"/>
      <c r="F262" s="14"/>
      <c r="M262" s="14"/>
      <c r="AL262" s="19"/>
      <c r="AM262" s="19"/>
      <c r="AN262" s="19"/>
    </row>
    <row r="263">
      <c r="A263" s="13"/>
      <c r="B263" s="41"/>
      <c r="D263" s="12"/>
      <c r="E263" s="14"/>
      <c r="F263" s="14"/>
      <c r="M263" s="14"/>
      <c r="AL263" s="19"/>
      <c r="AM263" s="19"/>
      <c r="AN263" s="19"/>
    </row>
    <row r="264">
      <c r="A264" s="13"/>
      <c r="B264" s="41"/>
      <c r="D264" s="12"/>
      <c r="E264" s="14"/>
      <c r="F264" s="14"/>
      <c r="M264" s="14"/>
      <c r="AL264" s="19"/>
      <c r="AM264" s="19"/>
      <c r="AN264" s="19"/>
    </row>
    <row r="265">
      <c r="A265" s="13"/>
      <c r="B265" s="41"/>
      <c r="D265" s="12"/>
      <c r="E265" s="14"/>
      <c r="F265" s="14"/>
      <c r="M265" s="14"/>
      <c r="AL265" s="19"/>
      <c r="AM265" s="19"/>
      <c r="AN265" s="19"/>
    </row>
    <row r="266">
      <c r="A266" s="13"/>
      <c r="B266" s="41"/>
      <c r="D266" s="12"/>
      <c r="E266" s="14"/>
      <c r="F266" s="14"/>
      <c r="M266" s="14"/>
      <c r="AL266" s="19"/>
      <c r="AM266" s="19"/>
      <c r="AN266" s="19"/>
    </row>
    <row r="267">
      <c r="A267" s="13"/>
      <c r="B267" s="41"/>
      <c r="D267" s="12"/>
      <c r="E267" s="14"/>
      <c r="F267" s="14"/>
      <c r="M267" s="14"/>
      <c r="AL267" s="19"/>
      <c r="AM267" s="19"/>
      <c r="AN267" s="19"/>
    </row>
    <row r="268">
      <c r="A268" s="13"/>
      <c r="B268" s="41"/>
      <c r="D268" s="12"/>
      <c r="E268" s="14"/>
      <c r="F268" s="14"/>
      <c r="M268" s="14"/>
      <c r="AL268" s="19"/>
      <c r="AM268" s="19"/>
      <c r="AN268" s="19"/>
    </row>
    <row r="269">
      <c r="A269" s="13"/>
      <c r="B269" s="41"/>
      <c r="D269" s="12"/>
      <c r="E269" s="14"/>
      <c r="F269" s="14"/>
      <c r="M269" s="14"/>
      <c r="AL269" s="19"/>
      <c r="AM269" s="19"/>
      <c r="AN269" s="19"/>
    </row>
    <row r="270">
      <c r="A270" s="13"/>
      <c r="B270" s="41"/>
      <c r="D270" s="12"/>
      <c r="E270" s="14"/>
      <c r="F270" s="14"/>
      <c r="M270" s="14"/>
      <c r="AL270" s="19"/>
      <c r="AM270" s="19"/>
      <c r="AN270" s="19"/>
    </row>
    <row r="271">
      <c r="A271" s="13"/>
      <c r="B271" s="41"/>
      <c r="D271" s="12"/>
      <c r="E271" s="14"/>
      <c r="F271" s="14"/>
      <c r="M271" s="14"/>
      <c r="AL271" s="19"/>
      <c r="AM271" s="19"/>
      <c r="AN271" s="19"/>
    </row>
    <row r="272">
      <c r="A272" s="13"/>
      <c r="B272" s="41"/>
      <c r="D272" s="12"/>
      <c r="E272" s="14"/>
      <c r="F272" s="14"/>
      <c r="M272" s="14"/>
      <c r="AL272" s="19"/>
      <c r="AM272" s="19"/>
      <c r="AN272" s="19"/>
    </row>
    <row r="273">
      <c r="A273" s="13"/>
      <c r="B273" s="41"/>
      <c r="D273" s="12"/>
      <c r="E273" s="14"/>
      <c r="F273" s="14"/>
      <c r="M273" s="14"/>
      <c r="AL273" s="19"/>
      <c r="AM273" s="19"/>
      <c r="AN273" s="19"/>
    </row>
    <row r="274">
      <c r="A274" s="13"/>
      <c r="B274" s="41"/>
      <c r="D274" s="12"/>
      <c r="E274" s="14"/>
      <c r="F274" s="14"/>
      <c r="M274" s="14"/>
      <c r="AL274" s="19"/>
      <c r="AM274" s="19"/>
      <c r="AN274" s="19"/>
    </row>
    <row r="275">
      <c r="A275" s="13"/>
      <c r="B275" s="41"/>
      <c r="D275" s="12"/>
      <c r="E275" s="14"/>
      <c r="F275" s="14"/>
      <c r="M275" s="14"/>
      <c r="AL275" s="19"/>
      <c r="AM275" s="19"/>
      <c r="AN275" s="19"/>
    </row>
    <row r="276">
      <c r="A276" s="13"/>
      <c r="B276" s="41"/>
      <c r="D276" s="12"/>
      <c r="E276" s="14"/>
      <c r="F276" s="14"/>
      <c r="M276" s="14"/>
      <c r="AL276" s="19"/>
      <c r="AM276" s="19"/>
      <c r="AN276" s="19"/>
    </row>
    <row r="277">
      <c r="A277" s="13"/>
      <c r="B277" s="41"/>
      <c r="D277" s="12"/>
      <c r="E277" s="14"/>
      <c r="F277" s="14"/>
      <c r="M277" s="14"/>
      <c r="AL277" s="19"/>
      <c r="AM277" s="19"/>
      <c r="AN277" s="19"/>
    </row>
    <row r="278">
      <c r="A278" s="13"/>
      <c r="B278" s="41"/>
      <c r="D278" s="12"/>
      <c r="E278" s="14"/>
      <c r="F278" s="14"/>
      <c r="M278" s="14"/>
      <c r="AL278" s="19"/>
      <c r="AM278" s="19"/>
      <c r="AN278" s="19"/>
    </row>
    <row r="279">
      <c r="A279" s="13"/>
      <c r="B279" s="41"/>
      <c r="D279" s="12"/>
      <c r="E279" s="14"/>
      <c r="F279" s="14"/>
      <c r="M279" s="14"/>
      <c r="AL279" s="19"/>
      <c r="AM279" s="19"/>
      <c r="AN279" s="19"/>
    </row>
    <row r="280">
      <c r="A280" s="13"/>
      <c r="B280" s="41"/>
      <c r="D280" s="12"/>
      <c r="E280" s="14"/>
      <c r="F280" s="14"/>
      <c r="M280" s="14"/>
      <c r="AL280" s="19"/>
      <c r="AM280" s="19"/>
      <c r="AN280" s="19"/>
    </row>
    <row r="281">
      <c r="A281" s="13"/>
      <c r="B281" s="41"/>
      <c r="D281" s="12"/>
      <c r="E281" s="14"/>
      <c r="F281" s="14"/>
      <c r="M281" s="14"/>
      <c r="AL281" s="19"/>
      <c r="AM281" s="19"/>
      <c r="AN281" s="19"/>
    </row>
    <row r="282">
      <c r="A282" s="13"/>
      <c r="B282" s="41"/>
      <c r="D282" s="12"/>
      <c r="E282" s="14"/>
      <c r="F282" s="14"/>
      <c r="M282" s="14"/>
      <c r="AL282" s="19"/>
      <c r="AM282" s="19"/>
      <c r="AN282" s="19"/>
    </row>
    <row r="283">
      <c r="A283" s="13"/>
      <c r="B283" s="41"/>
      <c r="D283" s="12"/>
      <c r="E283" s="14"/>
      <c r="F283" s="14"/>
      <c r="M283" s="14"/>
      <c r="AL283" s="19"/>
      <c r="AM283" s="19"/>
      <c r="AN283" s="19"/>
    </row>
    <row r="284">
      <c r="A284" s="13"/>
      <c r="B284" s="41"/>
      <c r="D284" s="12"/>
      <c r="E284" s="14"/>
      <c r="F284" s="14"/>
      <c r="M284" s="14"/>
      <c r="AL284" s="19"/>
      <c r="AM284" s="19"/>
      <c r="AN284" s="19"/>
    </row>
    <row r="285">
      <c r="A285" s="13"/>
      <c r="B285" s="41"/>
      <c r="D285" s="12"/>
      <c r="E285" s="14"/>
      <c r="F285" s="14"/>
      <c r="M285" s="14"/>
      <c r="AL285" s="19"/>
      <c r="AM285" s="19"/>
      <c r="AN285" s="19"/>
    </row>
    <row r="286">
      <c r="A286" s="13"/>
      <c r="B286" s="41"/>
      <c r="D286" s="12"/>
      <c r="E286" s="14"/>
      <c r="F286" s="14"/>
      <c r="M286" s="14"/>
      <c r="AL286" s="19"/>
      <c r="AM286" s="19"/>
      <c r="AN286" s="19"/>
    </row>
    <row r="287">
      <c r="A287" s="13"/>
      <c r="B287" s="41"/>
      <c r="D287" s="12"/>
      <c r="E287" s="14"/>
      <c r="F287" s="14"/>
      <c r="M287" s="14"/>
      <c r="AL287" s="19"/>
      <c r="AM287" s="19"/>
      <c r="AN287" s="19"/>
    </row>
    <row r="288">
      <c r="A288" s="13"/>
      <c r="B288" s="41"/>
      <c r="D288" s="12"/>
      <c r="E288" s="14"/>
      <c r="F288" s="14"/>
      <c r="M288" s="14"/>
      <c r="AL288" s="19"/>
      <c r="AM288" s="19"/>
      <c r="AN288" s="19"/>
    </row>
    <row r="289">
      <c r="A289" s="13"/>
      <c r="B289" s="41"/>
      <c r="D289" s="12"/>
      <c r="E289" s="14"/>
      <c r="F289" s="14"/>
      <c r="M289" s="14"/>
      <c r="AL289" s="19"/>
      <c r="AM289" s="19"/>
      <c r="AN289" s="19"/>
    </row>
    <row r="290">
      <c r="A290" s="13"/>
      <c r="B290" s="41"/>
      <c r="D290" s="12"/>
      <c r="E290" s="14"/>
      <c r="F290" s="14"/>
      <c r="M290" s="14"/>
      <c r="AL290" s="19"/>
      <c r="AM290" s="19"/>
      <c r="AN290" s="19"/>
    </row>
    <row r="291">
      <c r="A291" s="13"/>
      <c r="B291" s="41"/>
      <c r="D291" s="12"/>
      <c r="E291" s="14"/>
      <c r="F291" s="14"/>
      <c r="M291" s="14"/>
      <c r="AL291" s="19"/>
      <c r="AM291" s="19"/>
      <c r="AN291" s="19"/>
    </row>
    <row r="292">
      <c r="A292" s="13"/>
      <c r="B292" s="41"/>
      <c r="D292" s="12"/>
      <c r="E292" s="14"/>
      <c r="F292" s="14"/>
      <c r="M292" s="14"/>
      <c r="AL292" s="19"/>
      <c r="AM292" s="19"/>
      <c r="AN292" s="19"/>
    </row>
    <row r="293">
      <c r="A293" s="13"/>
      <c r="B293" s="41"/>
      <c r="D293" s="12"/>
      <c r="E293" s="14"/>
      <c r="F293" s="14"/>
      <c r="M293" s="14"/>
      <c r="AL293" s="19"/>
      <c r="AM293" s="19"/>
      <c r="AN293" s="19"/>
    </row>
    <row r="294">
      <c r="A294" s="13"/>
      <c r="B294" s="41"/>
      <c r="D294" s="12"/>
      <c r="E294" s="14"/>
      <c r="F294" s="14"/>
      <c r="M294" s="14"/>
      <c r="AL294" s="19"/>
      <c r="AM294" s="19"/>
      <c r="AN294" s="19"/>
    </row>
    <row r="295">
      <c r="A295" s="13"/>
      <c r="B295" s="41"/>
      <c r="D295" s="12"/>
      <c r="E295" s="14"/>
      <c r="F295" s="14"/>
      <c r="M295" s="14"/>
      <c r="AL295" s="19"/>
      <c r="AM295" s="19"/>
      <c r="AN295" s="19"/>
    </row>
    <row r="296">
      <c r="A296" s="13"/>
      <c r="B296" s="41"/>
      <c r="D296" s="12"/>
      <c r="E296" s="14"/>
      <c r="F296" s="14"/>
      <c r="M296" s="14"/>
      <c r="AL296" s="19"/>
      <c r="AM296" s="19"/>
      <c r="AN296" s="19"/>
    </row>
    <row r="297">
      <c r="A297" s="13"/>
      <c r="B297" s="41"/>
      <c r="D297" s="12"/>
      <c r="E297" s="14"/>
      <c r="F297" s="14"/>
      <c r="M297" s="14"/>
      <c r="AL297" s="19"/>
      <c r="AM297" s="19"/>
      <c r="AN297" s="19"/>
    </row>
    <row r="298">
      <c r="A298" s="13"/>
      <c r="B298" s="41"/>
      <c r="D298" s="12"/>
      <c r="E298" s="14"/>
      <c r="F298" s="14"/>
      <c r="M298" s="14"/>
      <c r="AL298" s="19"/>
      <c r="AM298" s="19"/>
      <c r="AN298" s="19"/>
    </row>
    <row r="299">
      <c r="A299" s="13"/>
      <c r="B299" s="41"/>
      <c r="D299" s="12"/>
      <c r="E299" s="14"/>
      <c r="F299" s="14"/>
      <c r="M299" s="14"/>
      <c r="AL299" s="19"/>
      <c r="AM299" s="19"/>
      <c r="AN299" s="19"/>
    </row>
    <row r="300">
      <c r="A300" s="13"/>
      <c r="B300" s="41"/>
      <c r="D300" s="12"/>
      <c r="E300" s="14"/>
      <c r="F300" s="14"/>
      <c r="M300" s="14"/>
      <c r="AL300" s="19"/>
      <c r="AM300" s="19"/>
      <c r="AN300" s="19"/>
    </row>
    <row r="301">
      <c r="A301" s="13"/>
      <c r="B301" s="41"/>
      <c r="D301" s="12"/>
      <c r="E301" s="14"/>
      <c r="F301" s="14"/>
      <c r="M301" s="14"/>
      <c r="AL301" s="19"/>
      <c r="AM301" s="19"/>
      <c r="AN301" s="19"/>
    </row>
    <row r="302">
      <c r="A302" s="13"/>
      <c r="B302" s="41"/>
      <c r="D302" s="12"/>
      <c r="E302" s="14"/>
      <c r="F302" s="14"/>
      <c r="M302" s="14"/>
      <c r="AL302" s="19"/>
      <c r="AM302" s="19"/>
      <c r="AN302" s="19"/>
    </row>
    <row r="303">
      <c r="A303" s="13"/>
      <c r="B303" s="41"/>
      <c r="D303" s="12"/>
      <c r="E303" s="14"/>
      <c r="F303" s="14"/>
      <c r="M303" s="14"/>
      <c r="AL303" s="19"/>
      <c r="AM303" s="19"/>
      <c r="AN303" s="19"/>
    </row>
    <row r="304">
      <c r="A304" s="13"/>
      <c r="B304" s="41"/>
      <c r="D304" s="12"/>
      <c r="E304" s="14"/>
      <c r="F304" s="14"/>
      <c r="M304" s="14"/>
      <c r="AL304" s="19"/>
      <c r="AM304" s="19"/>
      <c r="AN304" s="19"/>
    </row>
    <row r="305">
      <c r="A305" s="13"/>
      <c r="B305" s="41"/>
      <c r="D305" s="12"/>
      <c r="E305" s="14"/>
      <c r="F305" s="14"/>
      <c r="M305" s="14"/>
      <c r="AL305" s="19"/>
      <c r="AM305" s="19"/>
      <c r="AN305" s="19"/>
    </row>
    <row r="306">
      <c r="A306" s="13"/>
      <c r="B306" s="41"/>
      <c r="D306" s="12"/>
      <c r="E306" s="14"/>
      <c r="F306" s="14"/>
      <c r="M306" s="14"/>
      <c r="AL306" s="19"/>
      <c r="AM306" s="19"/>
      <c r="AN306" s="19"/>
    </row>
    <row r="307">
      <c r="A307" s="13"/>
      <c r="B307" s="41"/>
      <c r="D307" s="12"/>
      <c r="E307" s="14"/>
      <c r="F307" s="14"/>
      <c r="M307" s="14"/>
      <c r="AL307" s="19"/>
      <c r="AM307" s="19"/>
      <c r="AN307" s="19"/>
    </row>
    <row r="308">
      <c r="A308" s="13"/>
      <c r="B308" s="41"/>
      <c r="D308" s="12"/>
      <c r="E308" s="14"/>
      <c r="F308" s="14"/>
      <c r="M308" s="14"/>
      <c r="AL308" s="19"/>
      <c r="AM308" s="19"/>
      <c r="AN308" s="19"/>
    </row>
    <row r="309">
      <c r="A309" s="13"/>
      <c r="B309" s="41"/>
      <c r="D309" s="12"/>
      <c r="E309" s="14"/>
      <c r="F309" s="14"/>
      <c r="M309" s="14"/>
      <c r="AL309" s="19"/>
      <c r="AM309" s="19"/>
      <c r="AN309" s="19"/>
    </row>
    <row r="310">
      <c r="A310" s="13"/>
      <c r="B310" s="41"/>
      <c r="D310" s="12"/>
      <c r="E310" s="14"/>
      <c r="F310" s="14"/>
      <c r="M310" s="14"/>
      <c r="AL310" s="19"/>
      <c r="AM310" s="19"/>
      <c r="AN310" s="19"/>
    </row>
    <row r="311">
      <c r="A311" s="13"/>
      <c r="B311" s="41"/>
      <c r="D311" s="12"/>
      <c r="E311" s="14"/>
      <c r="F311" s="14"/>
      <c r="M311" s="14"/>
      <c r="AL311" s="19"/>
      <c r="AM311" s="19"/>
      <c r="AN311" s="19"/>
    </row>
    <row r="312">
      <c r="A312" s="13"/>
      <c r="B312" s="41"/>
      <c r="D312" s="12"/>
      <c r="E312" s="14"/>
      <c r="F312" s="14"/>
      <c r="M312" s="14"/>
      <c r="AL312" s="19"/>
      <c r="AM312" s="19"/>
      <c r="AN312" s="19"/>
    </row>
    <row r="313">
      <c r="A313" s="13"/>
      <c r="B313" s="41"/>
      <c r="D313" s="12"/>
      <c r="E313" s="14"/>
      <c r="F313" s="14"/>
      <c r="M313" s="14"/>
      <c r="AL313" s="19"/>
      <c r="AM313" s="19"/>
      <c r="AN313" s="19"/>
    </row>
    <row r="314">
      <c r="A314" s="13"/>
      <c r="B314" s="41"/>
      <c r="D314" s="12"/>
      <c r="E314" s="14"/>
      <c r="F314" s="14"/>
      <c r="M314" s="14"/>
      <c r="AL314" s="19"/>
      <c r="AM314" s="19"/>
      <c r="AN314" s="19"/>
    </row>
    <row r="315">
      <c r="A315" s="13"/>
      <c r="B315" s="41"/>
      <c r="D315" s="12"/>
      <c r="E315" s="14"/>
      <c r="F315" s="14"/>
      <c r="M315" s="14"/>
      <c r="AL315" s="19"/>
      <c r="AM315" s="19"/>
      <c r="AN315" s="19"/>
    </row>
    <row r="316">
      <c r="A316" s="13"/>
      <c r="B316" s="41"/>
      <c r="D316" s="12"/>
      <c r="E316" s="14"/>
      <c r="F316" s="14"/>
      <c r="M316" s="14"/>
      <c r="AL316" s="19"/>
      <c r="AM316" s="19"/>
      <c r="AN316" s="19"/>
    </row>
    <row r="317">
      <c r="A317" s="13"/>
      <c r="B317" s="41"/>
      <c r="D317" s="12"/>
      <c r="E317" s="14"/>
      <c r="F317" s="14"/>
      <c r="M317" s="14"/>
      <c r="AL317" s="19"/>
      <c r="AM317" s="19"/>
      <c r="AN317" s="19"/>
    </row>
    <row r="318">
      <c r="A318" s="13"/>
      <c r="B318" s="41"/>
      <c r="D318" s="12"/>
      <c r="E318" s="14"/>
      <c r="F318" s="14"/>
      <c r="M318" s="14"/>
      <c r="AL318" s="19"/>
      <c r="AM318" s="19"/>
      <c r="AN318" s="19"/>
    </row>
    <row r="319">
      <c r="A319" s="13"/>
      <c r="B319" s="41"/>
      <c r="D319" s="12"/>
      <c r="E319" s="14"/>
      <c r="F319" s="14"/>
      <c r="M319" s="14"/>
      <c r="AL319" s="19"/>
      <c r="AM319" s="19"/>
      <c r="AN319" s="19"/>
    </row>
    <row r="320">
      <c r="A320" s="13"/>
      <c r="B320" s="41"/>
      <c r="D320" s="12"/>
      <c r="E320" s="14"/>
      <c r="F320" s="14"/>
      <c r="M320" s="14"/>
      <c r="AL320" s="19"/>
      <c r="AM320" s="19"/>
      <c r="AN320" s="19"/>
    </row>
    <row r="321">
      <c r="A321" s="13"/>
      <c r="B321" s="41"/>
      <c r="D321" s="12"/>
      <c r="E321" s="14"/>
      <c r="F321" s="14"/>
      <c r="M321" s="14"/>
      <c r="AL321" s="19"/>
      <c r="AM321" s="19"/>
      <c r="AN321" s="19"/>
    </row>
    <row r="322">
      <c r="A322" s="13"/>
      <c r="B322" s="41"/>
      <c r="D322" s="12"/>
      <c r="E322" s="14"/>
      <c r="F322" s="14"/>
      <c r="M322" s="14"/>
      <c r="AL322" s="19"/>
      <c r="AM322" s="19"/>
      <c r="AN322" s="19"/>
    </row>
    <row r="323">
      <c r="A323" s="13"/>
      <c r="B323" s="41"/>
      <c r="D323" s="12"/>
      <c r="E323" s="14"/>
      <c r="F323" s="14"/>
      <c r="M323" s="14"/>
      <c r="AL323" s="19"/>
      <c r="AM323" s="19"/>
      <c r="AN323" s="19"/>
    </row>
    <row r="324">
      <c r="A324" s="13"/>
      <c r="B324" s="41"/>
      <c r="D324" s="12"/>
      <c r="E324" s="14"/>
      <c r="F324" s="14"/>
      <c r="M324" s="14"/>
      <c r="AL324" s="19"/>
      <c r="AM324" s="19"/>
      <c r="AN324" s="19"/>
    </row>
    <row r="325">
      <c r="A325" s="13"/>
      <c r="B325" s="41"/>
      <c r="D325" s="12"/>
      <c r="E325" s="14"/>
      <c r="F325" s="14"/>
      <c r="M325" s="14"/>
      <c r="AL325" s="19"/>
      <c r="AM325" s="19"/>
      <c r="AN325" s="19"/>
    </row>
    <row r="326">
      <c r="A326" s="13"/>
      <c r="B326" s="41"/>
      <c r="D326" s="12"/>
      <c r="E326" s="14"/>
      <c r="F326" s="14"/>
      <c r="M326" s="14"/>
      <c r="AL326" s="19"/>
      <c r="AM326" s="19"/>
      <c r="AN326" s="19"/>
    </row>
    <row r="327">
      <c r="A327" s="13"/>
      <c r="B327" s="41"/>
      <c r="D327" s="12"/>
      <c r="E327" s="14"/>
      <c r="F327" s="14"/>
      <c r="M327" s="14"/>
      <c r="AL327" s="19"/>
      <c r="AM327" s="19"/>
      <c r="AN327" s="19"/>
    </row>
    <row r="328">
      <c r="A328" s="13"/>
      <c r="B328" s="41"/>
      <c r="D328" s="12"/>
      <c r="E328" s="14"/>
      <c r="F328" s="14"/>
      <c r="M328" s="14"/>
      <c r="AL328" s="19"/>
      <c r="AM328" s="19"/>
      <c r="AN328" s="19"/>
    </row>
    <row r="329">
      <c r="A329" s="13"/>
      <c r="B329" s="41"/>
      <c r="D329" s="12"/>
      <c r="E329" s="14"/>
      <c r="F329" s="14"/>
      <c r="M329" s="14"/>
      <c r="AL329" s="19"/>
      <c r="AM329" s="19"/>
      <c r="AN329" s="19"/>
    </row>
    <row r="330">
      <c r="A330" s="13"/>
      <c r="B330" s="41"/>
      <c r="D330" s="12"/>
      <c r="E330" s="14"/>
      <c r="F330" s="14"/>
      <c r="M330" s="14"/>
      <c r="AL330" s="19"/>
      <c r="AM330" s="19"/>
      <c r="AN330" s="19"/>
    </row>
    <row r="331">
      <c r="A331" s="13"/>
      <c r="B331" s="41"/>
      <c r="D331" s="12"/>
      <c r="E331" s="14"/>
      <c r="F331" s="14"/>
      <c r="M331" s="14"/>
      <c r="AL331" s="19"/>
      <c r="AM331" s="19"/>
      <c r="AN331" s="19"/>
    </row>
    <row r="332">
      <c r="A332" s="13"/>
      <c r="B332" s="41"/>
      <c r="D332" s="12"/>
      <c r="E332" s="14"/>
      <c r="F332" s="14"/>
      <c r="M332" s="14"/>
      <c r="AL332" s="19"/>
      <c r="AM332" s="19"/>
      <c r="AN332" s="19"/>
    </row>
    <row r="333">
      <c r="A333" s="13"/>
      <c r="B333" s="41"/>
      <c r="D333" s="12"/>
      <c r="E333" s="14"/>
      <c r="F333" s="14"/>
      <c r="M333" s="14"/>
      <c r="AL333" s="19"/>
      <c r="AM333" s="19"/>
      <c r="AN333" s="19"/>
    </row>
    <row r="334">
      <c r="A334" s="13"/>
      <c r="B334" s="41"/>
      <c r="D334" s="12"/>
      <c r="E334" s="14"/>
      <c r="F334" s="14"/>
      <c r="M334" s="14"/>
      <c r="AL334" s="19"/>
      <c r="AM334" s="19"/>
      <c r="AN334" s="19"/>
    </row>
    <row r="335">
      <c r="A335" s="13"/>
      <c r="B335" s="41"/>
      <c r="D335" s="12"/>
      <c r="E335" s="14"/>
      <c r="F335" s="14"/>
      <c r="M335" s="14"/>
      <c r="AL335" s="19"/>
      <c r="AM335" s="19"/>
      <c r="AN335" s="19"/>
    </row>
    <row r="336">
      <c r="A336" s="13"/>
      <c r="B336" s="41"/>
      <c r="D336" s="12"/>
      <c r="E336" s="14"/>
      <c r="F336" s="14"/>
      <c r="M336" s="14"/>
      <c r="AL336" s="19"/>
      <c r="AM336" s="19"/>
      <c r="AN336" s="19"/>
    </row>
    <row r="337">
      <c r="A337" s="13"/>
      <c r="B337" s="41"/>
      <c r="D337" s="12"/>
      <c r="E337" s="14"/>
      <c r="F337" s="14"/>
      <c r="M337" s="14"/>
      <c r="AL337" s="19"/>
      <c r="AM337" s="19"/>
      <c r="AN337" s="19"/>
    </row>
    <row r="338">
      <c r="A338" s="13"/>
      <c r="B338" s="41"/>
      <c r="D338" s="12"/>
      <c r="E338" s="14"/>
      <c r="F338" s="14"/>
      <c r="M338" s="14"/>
      <c r="AL338" s="19"/>
      <c r="AM338" s="19"/>
      <c r="AN338" s="19"/>
    </row>
    <row r="339">
      <c r="A339" s="13"/>
      <c r="B339" s="41"/>
      <c r="D339" s="12"/>
      <c r="E339" s="14"/>
      <c r="F339" s="14"/>
      <c r="M339" s="14"/>
      <c r="AL339" s="19"/>
      <c r="AM339" s="19"/>
      <c r="AN339" s="19"/>
    </row>
    <row r="340">
      <c r="A340" s="13"/>
      <c r="B340" s="41"/>
      <c r="D340" s="12"/>
      <c r="E340" s="14"/>
      <c r="F340" s="14"/>
      <c r="M340" s="14"/>
      <c r="AL340" s="19"/>
      <c r="AM340" s="19"/>
      <c r="AN340" s="19"/>
    </row>
    <row r="341">
      <c r="A341" s="13"/>
      <c r="B341" s="41"/>
      <c r="D341" s="12"/>
      <c r="E341" s="14"/>
      <c r="F341" s="14"/>
      <c r="M341" s="14"/>
      <c r="AL341" s="19"/>
      <c r="AM341" s="19"/>
      <c r="AN341" s="19"/>
    </row>
    <row r="342">
      <c r="A342" s="13"/>
      <c r="B342" s="41"/>
      <c r="D342" s="12"/>
      <c r="E342" s="14"/>
      <c r="F342" s="14"/>
      <c r="M342" s="14"/>
      <c r="AL342" s="19"/>
      <c r="AM342" s="19"/>
      <c r="AN342" s="19"/>
    </row>
    <row r="343">
      <c r="A343" s="13"/>
      <c r="B343" s="41"/>
      <c r="D343" s="12"/>
      <c r="E343" s="14"/>
      <c r="F343" s="14"/>
      <c r="M343" s="14"/>
      <c r="AL343" s="19"/>
      <c r="AM343" s="19"/>
      <c r="AN343" s="19"/>
    </row>
    <row r="344">
      <c r="A344" s="13"/>
      <c r="B344" s="41"/>
      <c r="D344" s="12"/>
      <c r="E344" s="14"/>
      <c r="F344" s="14"/>
      <c r="M344" s="14"/>
      <c r="AL344" s="19"/>
      <c r="AM344" s="19"/>
      <c r="AN344" s="19"/>
    </row>
    <row r="345">
      <c r="A345" s="13"/>
      <c r="B345" s="41"/>
      <c r="D345" s="12"/>
      <c r="E345" s="14"/>
      <c r="F345" s="14"/>
      <c r="M345" s="14"/>
      <c r="AL345" s="19"/>
      <c r="AM345" s="19"/>
      <c r="AN345" s="19"/>
    </row>
    <row r="346">
      <c r="A346" s="13"/>
      <c r="B346" s="41"/>
      <c r="D346" s="12"/>
      <c r="E346" s="14"/>
      <c r="F346" s="14"/>
      <c r="M346" s="14"/>
      <c r="AL346" s="19"/>
      <c r="AM346" s="19"/>
      <c r="AN346" s="19"/>
    </row>
    <row r="347">
      <c r="A347" s="13"/>
      <c r="B347" s="41"/>
      <c r="D347" s="12"/>
      <c r="E347" s="14"/>
      <c r="F347" s="14"/>
      <c r="M347" s="14"/>
      <c r="AL347" s="19"/>
      <c r="AM347" s="19"/>
      <c r="AN347" s="19"/>
    </row>
    <row r="348">
      <c r="A348" s="13"/>
      <c r="B348" s="41"/>
      <c r="D348" s="12"/>
      <c r="E348" s="14"/>
      <c r="F348" s="14"/>
      <c r="M348" s="14"/>
      <c r="AL348" s="19"/>
      <c r="AM348" s="19"/>
      <c r="AN348" s="19"/>
    </row>
    <row r="349">
      <c r="A349" s="13"/>
      <c r="B349" s="41"/>
      <c r="D349" s="12"/>
      <c r="E349" s="14"/>
      <c r="F349" s="14"/>
      <c r="M349" s="14"/>
      <c r="AL349" s="19"/>
      <c r="AM349" s="19"/>
      <c r="AN349" s="19"/>
    </row>
    <row r="350">
      <c r="A350" s="13"/>
      <c r="B350" s="41"/>
      <c r="D350" s="12"/>
      <c r="E350" s="14"/>
      <c r="F350" s="14"/>
      <c r="M350" s="14"/>
      <c r="AL350" s="19"/>
      <c r="AM350" s="19"/>
      <c r="AN350" s="19"/>
    </row>
    <row r="351">
      <c r="A351" s="13"/>
      <c r="B351" s="41"/>
      <c r="D351" s="12"/>
      <c r="E351" s="14"/>
      <c r="F351" s="14"/>
      <c r="M351" s="14"/>
      <c r="AL351" s="19"/>
      <c r="AM351" s="19"/>
      <c r="AN351" s="19"/>
    </row>
    <row r="352">
      <c r="A352" s="13"/>
      <c r="B352" s="41"/>
      <c r="D352" s="12"/>
      <c r="E352" s="14"/>
      <c r="F352" s="14"/>
      <c r="M352" s="14"/>
      <c r="AL352" s="19"/>
      <c r="AM352" s="19"/>
      <c r="AN352" s="19"/>
    </row>
    <row r="353">
      <c r="A353" s="13"/>
      <c r="B353" s="41"/>
      <c r="D353" s="12"/>
      <c r="E353" s="14"/>
      <c r="F353" s="14"/>
      <c r="M353" s="14"/>
      <c r="AL353" s="19"/>
      <c r="AM353" s="19"/>
      <c r="AN353" s="19"/>
    </row>
    <row r="354">
      <c r="A354" s="13"/>
      <c r="B354" s="41"/>
      <c r="D354" s="12"/>
      <c r="E354" s="14"/>
      <c r="F354" s="14"/>
      <c r="M354" s="14"/>
      <c r="AL354" s="19"/>
      <c r="AM354" s="19"/>
      <c r="AN354" s="19"/>
    </row>
    <row r="355">
      <c r="A355" s="13"/>
      <c r="B355" s="41"/>
      <c r="D355" s="12"/>
      <c r="E355" s="14"/>
      <c r="F355" s="14"/>
      <c r="M355" s="14"/>
      <c r="AL355" s="19"/>
      <c r="AM355" s="19"/>
      <c r="AN355" s="19"/>
    </row>
    <row r="356">
      <c r="A356" s="13"/>
      <c r="B356" s="41"/>
      <c r="D356" s="12"/>
      <c r="E356" s="14"/>
      <c r="F356" s="14"/>
      <c r="M356" s="14"/>
      <c r="AL356" s="19"/>
      <c r="AM356" s="19"/>
      <c r="AN356" s="19"/>
    </row>
    <row r="357">
      <c r="A357" s="13"/>
      <c r="B357" s="41"/>
      <c r="D357" s="12"/>
      <c r="E357" s="14"/>
      <c r="F357" s="14"/>
      <c r="M357" s="14"/>
      <c r="AL357" s="19"/>
      <c r="AM357" s="19"/>
      <c r="AN357" s="19"/>
    </row>
    <row r="358">
      <c r="A358" s="13"/>
      <c r="B358" s="41"/>
      <c r="D358" s="12"/>
      <c r="E358" s="14"/>
      <c r="F358" s="14"/>
      <c r="M358" s="14"/>
      <c r="AL358" s="19"/>
      <c r="AM358" s="19"/>
      <c r="AN358" s="19"/>
    </row>
    <row r="359">
      <c r="A359" s="13"/>
      <c r="B359" s="41"/>
      <c r="D359" s="12"/>
      <c r="E359" s="14"/>
      <c r="F359" s="14"/>
      <c r="M359" s="14"/>
      <c r="AL359" s="19"/>
      <c r="AM359" s="19"/>
      <c r="AN359" s="19"/>
    </row>
    <row r="360">
      <c r="A360" s="13"/>
      <c r="B360" s="41"/>
      <c r="D360" s="12"/>
      <c r="E360" s="14"/>
      <c r="F360" s="14"/>
      <c r="M360" s="14"/>
      <c r="AL360" s="19"/>
      <c r="AM360" s="19"/>
      <c r="AN360" s="19"/>
    </row>
    <row r="361">
      <c r="A361" s="13"/>
      <c r="B361" s="41"/>
      <c r="D361" s="12"/>
      <c r="E361" s="14"/>
      <c r="F361" s="14"/>
      <c r="M361" s="14"/>
      <c r="AL361" s="19"/>
      <c r="AM361" s="19"/>
      <c r="AN361" s="19"/>
    </row>
    <row r="362">
      <c r="A362" s="13"/>
      <c r="B362" s="41"/>
      <c r="D362" s="12"/>
      <c r="E362" s="14"/>
      <c r="F362" s="14"/>
      <c r="M362" s="14"/>
      <c r="AL362" s="19"/>
      <c r="AM362" s="19"/>
      <c r="AN362" s="19"/>
    </row>
    <row r="363">
      <c r="A363" s="13"/>
      <c r="B363" s="41"/>
      <c r="D363" s="12"/>
      <c r="E363" s="14"/>
      <c r="F363" s="14"/>
      <c r="M363" s="14"/>
      <c r="AL363" s="19"/>
      <c r="AM363" s="19"/>
      <c r="AN363" s="19"/>
    </row>
    <row r="364">
      <c r="A364" s="13"/>
      <c r="B364" s="41"/>
      <c r="D364" s="12"/>
      <c r="E364" s="14"/>
      <c r="F364" s="14"/>
      <c r="M364" s="14"/>
      <c r="AL364" s="19"/>
      <c r="AM364" s="19"/>
      <c r="AN364" s="19"/>
    </row>
    <row r="365">
      <c r="A365" s="13"/>
      <c r="B365" s="41"/>
      <c r="D365" s="12"/>
      <c r="E365" s="14"/>
      <c r="F365" s="14"/>
      <c r="M365" s="14"/>
      <c r="AL365" s="19"/>
      <c r="AM365" s="19"/>
      <c r="AN365" s="19"/>
    </row>
    <row r="366">
      <c r="A366" s="13"/>
      <c r="B366" s="41"/>
      <c r="D366" s="12"/>
      <c r="E366" s="14"/>
      <c r="F366" s="14"/>
      <c r="M366" s="14"/>
      <c r="AL366" s="19"/>
      <c r="AM366" s="19"/>
      <c r="AN366" s="19"/>
    </row>
    <row r="367">
      <c r="A367" s="13"/>
      <c r="B367" s="41"/>
      <c r="D367" s="12"/>
      <c r="E367" s="14"/>
      <c r="F367" s="14"/>
      <c r="M367" s="14"/>
      <c r="AL367" s="19"/>
      <c r="AM367" s="19"/>
      <c r="AN367" s="19"/>
    </row>
    <row r="368">
      <c r="A368" s="13"/>
      <c r="B368" s="41"/>
      <c r="D368" s="12"/>
      <c r="E368" s="14"/>
      <c r="F368" s="14"/>
      <c r="M368" s="14"/>
      <c r="AL368" s="19"/>
      <c r="AM368" s="19"/>
      <c r="AN368" s="19"/>
    </row>
    <row r="369">
      <c r="A369" s="13"/>
      <c r="B369" s="41"/>
      <c r="D369" s="12"/>
      <c r="E369" s="14"/>
      <c r="F369" s="14"/>
      <c r="M369" s="14"/>
      <c r="AL369" s="19"/>
      <c r="AM369" s="19"/>
      <c r="AN369" s="19"/>
    </row>
    <row r="370">
      <c r="A370" s="13"/>
      <c r="B370" s="41"/>
      <c r="D370" s="12"/>
      <c r="E370" s="14"/>
      <c r="F370" s="14"/>
      <c r="M370" s="14"/>
      <c r="AL370" s="19"/>
      <c r="AM370" s="19"/>
      <c r="AN370" s="19"/>
    </row>
    <row r="371">
      <c r="A371" s="13"/>
      <c r="B371" s="41"/>
      <c r="D371" s="12"/>
      <c r="E371" s="14"/>
      <c r="F371" s="14"/>
      <c r="M371" s="14"/>
      <c r="AL371" s="19"/>
      <c r="AM371" s="19"/>
      <c r="AN371" s="19"/>
    </row>
    <row r="372">
      <c r="A372" s="13"/>
      <c r="B372" s="41"/>
      <c r="D372" s="12"/>
      <c r="E372" s="14"/>
      <c r="F372" s="14"/>
      <c r="M372" s="14"/>
      <c r="AL372" s="19"/>
      <c r="AM372" s="19"/>
      <c r="AN372" s="19"/>
    </row>
    <row r="373">
      <c r="A373" s="13"/>
      <c r="B373" s="41"/>
      <c r="D373" s="12"/>
      <c r="E373" s="14"/>
      <c r="F373" s="14"/>
      <c r="M373" s="14"/>
      <c r="AL373" s="19"/>
      <c r="AM373" s="19"/>
      <c r="AN373" s="19"/>
    </row>
    <row r="374">
      <c r="A374" s="13"/>
      <c r="B374" s="41"/>
      <c r="D374" s="12"/>
      <c r="E374" s="14"/>
      <c r="F374" s="14"/>
      <c r="M374" s="14"/>
      <c r="AL374" s="19"/>
      <c r="AM374" s="19"/>
      <c r="AN374" s="19"/>
    </row>
    <row r="375">
      <c r="A375" s="13"/>
      <c r="B375" s="41"/>
      <c r="D375" s="12"/>
      <c r="E375" s="14"/>
      <c r="F375" s="14"/>
      <c r="M375" s="14"/>
      <c r="AL375" s="19"/>
      <c r="AM375" s="19"/>
      <c r="AN375" s="19"/>
    </row>
    <row r="376">
      <c r="A376" s="13"/>
      <c r="B376" s="41"/>
      <c r="D376" s="12"/>
      <c r="E376" s="14"/>
      <c r="F376" s="14"/>
      <c r="M376" s="14"/>
      <c r="AL376" s="19"/>
      <c r="AM376" s="19"/>
      <c r="AN376" s="19"/>
    </row>
    <row r="377">
      <c r="A377" s="13"/>
      <c r="B377" s="41"/>
      <c r="D377" s="12"/>
      <c r="E377" s="14"/>
      <c r="F377" s="14"/>
      <c r="M377" s="14"/>
      <c r="AL377" s="19"/>
      <c r="AM377" s="19"/>
      <c r="AN377" s="19"/>
    </row>
    <row r="378">
      <c r="A378" s="13"/>
      <c r="B378" s="41"/>
      <c r="D378" s="12"/>
      <c r="E378" s="14"/>
      <c r="F378" s="14"/>
      <c r="M378" s="14"/>
      <c r="AL378" s="19"/>
      <c r="AM378" s="19"/>
      <c r="AN378" s="19"/>
    </row>
    <row r="379">
      <c r="A379" s="13"/>
      <c r="B379" s="41"/>
      <c r="D379" s="12"/>
      <c r="E379" s="14"/>
      <c r="F379" s="14"/>
      <c r="M379" s="14"/>
      <c r="AL379" s="19"/>
      <c r="AM379" s="19"/>
      <c r="AN379" s="19"/>
    </row>
    <row r="380">
      <c r="A380" s="13"/>
      <c r="B380" s="41"/>
      <c r="D380" s="12"/>
      <c r="E380" s="14"/>
      <c r="F380" s="14"/>
      <c r="M380" s="14"/>
      <c r="AL380" s="19"/>
      <c r="AM380" s="19"/>
      <c r="AN380" s="19"/>
    </row>
    <row r="381">
      <c r="A381" s="13"/>
      <c r="B381" s="41"/>
      <c r="D381" s="12"/>
      <c r="E381" s="14"/>
      <c r="F381" s="14"/>
      <c r="M381" s="14"/>
      <c r="AL381" s="19"/>
      <c r="AM381" s="19"/>
      <c r="AN381" s="19"/>
    </row>
    <row r="382">
      <c r="A382" s="13"/>
      <c r="B382" s="41"/>
      <c r="D382" s="12"/>
      <c r="E382" s="14"/>
      <c r="F382" s="14"/>
      <c r="M382" s="14"/>
      <c r="AL382" s="19"/>
      <c r="AM382" s="19"/>
      <c r="AN382" s="19"/>
    </row>
    <row r="383">
      <c r="A383" s="13"/>
      <c r="B383" s="41"/>
      <c r="D383" s="12"/>
      <c r="E383" s="14"/>
      <c r="F383" s="14"/>
      <c r="M383" s="14"/>
      <c r="AL383" s="19"/>
      <c r="AM383" s="19"/>
      <c r="AN383" s="19"/>
    </row>
    <row r="384">
      <c r="A384" s="13"/>
      <c r="B384" s="41"/>
      <c r="D384" s="12"/>
      <c r="E384" s="14"/>
      <c r="F384" s="14"/>
      <c r="M384" s="14"/>
      <c r="AL384" s="19"/>
      <c r="AM384" s="19"/>
      <c r="AN384" s="19"/>
    </row>
    <row r="385">
      <c r="A385" s="13"/>
      <c r="B385" s="41"/>
      <c r="D385" s="12"/>
      <c r="E385" s="14"/>
      <c r="F385" s="14"/>
      <c r="M385" s="14"/>
      <c r="AL385" s="19"/>
      <c r="AM385" s="19"/>
      <c r="AN385" s="19"/>
    </row>
    <row r="386">
      <c r="A386" s="13"/>
      <c r="B386" s="41"/>
      <c r="D386" s="12"/>
      <c r="E386" s="14"/>
      <c r="F386" s="14"/>
      <c r="M386" s="14"/>
      <c r="AL386" s="19"/>
      <c r="AM386" s="19"/>
      <c r="AN386" s="19"/>
    </row>
    <row r="387">
      <c r="A387" s="13"/>
      <c r="B387" s="41"/>
      <c r="D387" s="12"/>
      <c r="E387" s="14"/>
      <c r="F387" s="14"/>
      <c r="M387" s="14"/>
      <c r="AL387" s="19"/>
      <c r="AM387" s="19"/>
      <c r="AN387" s="19"/>
    </row>
    <row r="388">
      <c r="A388" s="13"/>
      <c r="B388" s="41"/>
      <c r="D388" s="12"/>
      <c r="E388" s="14"/>
      <c r="F388" s="14"/>
      <c r="M388" s="14"/>
      <c r="AL388" s="19"/>
      <c r="AM388" s="19"/>
      <c r="AN388" s="19"/>
    </row>
    <row r="389">
      <c r="A389" s="13"/>
      <c r="B389" s="41"/>
      <c r="D389" s="12"/>
      <c r="E389" s="14"/>
      <c r="F389" s="14"/>
      <c r="M389" s="14"/>
      <c r="AL389" s="19"/>
      <c r="AM389" s="19"/>
      <c r="AN389" s="19"/>
    </row>
    <row r="390">
      <c r="A390" s="13"/>
      <c r="B390" s="41"/>
      <c r="D390" s="12"/>
      <c r="E390" s="14"/>
      <c r="F390" s="14"/>
      <c r="M390" s="14"/>
      <c r="AL390" s="19"/>
      <c r="AM390" s="19"/>
      <c r="AN390" s="19"/>
    </row>
    <row r="391">
      <c r="A391" s="13"/>
      <c r="B391" s="41"/>
      <c r="D391" s="12"/>
      <c r="E391" s="14"/>
      <c r="F391" s="14"/>
      <c r="M391" s="14"/>
      <c r="AL391" s="19"/>
      <c r="AM391" s="19"/>
      <c r="AN391" s="19"/>
    </row>
    <row r="392">
      <c r="A392" s="13"/>
      <c r="B392" s="41"/>
      <c r="D392" s="12"/>
      <c r="E392" s="14"/>
      <c r="F392" s="14"/>
      <c r="M392" s="14"/>
      <c r="AL392" s="19"/>
      <c r="AM392" s="19"/>
      <c r="AN392" s="19"/>
    </row>
    <row r="393">
      <c r="A393" s="13"/>
      <c r="B393" s="41"/>
      <c r="D393" s="12"/>
      <c r="E393" s="14"/>
      <c r="F393" s="14"/>
      <c r="M393" s="14"/>
      <c r="AL393" s="19"/>
      <c r="AM393" s="19"/>
      <c r="AN393" s="19"/>
    </row>
    <row r="394">
      <c r="A394" s="13"/>
      <c r="B394" s="41"/>
      <c r="D394" s="12"/>
      <c r="E394" s="14"/>
      <c r="F394" s="14"/>
      <c r="M394" s="14"/>
      <c r="AL394" s="19"/>
      <c r="AM394" s="19"/>
      <c r="AN394" s="19"/>
    </row>
    <row r="395">
      <c r="A395" s="13"/>
      <c r="B395" s="41"/>
      <c r="D395" s="12"/>
      <c r="E395" s="14"/>
      <c r="F395" s="14"/>
      <c r="M395" s="14"/>
      <c r="AL395" s="19"/>
      <c r="AM395" s="19"/>
      <c r="AN395" s="19"/>
    </row>
    <row r="396">
      <c r="A396" s="13"/>
      <c r="B396" s="41"/>
      <c r="D396" s="12"/>
      <c r="E396" s="14"/>
      <c r="F396" s="14"/>
      <c r="M396" s="14"/>
      <c r="AL396" s="19"/>
      <c r="AM396" s="19"/>
      <c r="AN396" s="19"/>
    </row>
    <row r="397">
      <c r="A397" s="13"/>
      <c r="B397" s="41"/>
      <c r="D397" s="12"/>
      <c r="E397" s="14"/>
      <c r="F397" s="14"/>
      <c r="M397" s="14"/>
      <c r="AL397" s="19"/>
      <c r="AM397" s="19"/>
      <c r="AN397" s="19"/>
    </row>
    <row r="398">
      <c r="A398" s="13"/>
      <c r="B398" s="41"/>
      <c r="D398" s="12"/>
      <c r="E398" s="14"/>
      <c r="F398" s="14"/>
      <c r="M398" s="14"/>
      <c r="AL398" s="19"/>
      <c r="AM398" s="19"/>
      <c r="AN398" s="19"/>
    </row>
    <row r="399">
      <c r="A399" s="13"/>
      <c r="B399" s="41"/>
      <c r="D399" s="12"/>
      <c r="E399" s="14"/>
      <c r="F399" s="14"/>
      <c r="M399" s="14"/>
      <c r="AL399" s="19"/>
      <c r="AM399" s="19"/>
      <c r="AN399" s="19"/>
    </row>
    <row r="400">
      <c r="A400" s="13"/>
      <c r="B400" s="41"/>
      <c r="D400" s="12"/>
      <c r="E400" s="14"/>
      <c r="F400" s="14"/>
      <c r="M400" s="14"/>
      <c r="AL400" s="19"/>
      <c r="AM400" s="19"/>
      <c r="AN400" s="19"/>
    </row>
    <row r="401">
      <c r="A401" s="13"/>
      <c r="B401" s="41"/>
      <c r="D401" s="12"/>
      <c r="E401" s="14"/>
      <c r="F401" s="14"/>
      <c r="M401" s="14"/>
      <c r="AL401" s="19"/>
      <c r="AM401" s="19"/>
      <c r="AN401" s="19"/>
    </row>
    <row r="402">
      <c r="A402" s="13"/>
      <c r="B402" s="41"/>
      <c r="D402" s="12"/>
      <c r="E402" s="14"/>
      <c r="F402" s="14"/>
      <c r="M402" s="14"/>
      <c r="AL402" s="19"/>
      <c r="AM402" s="19"/>
      <c r="AN402" s="19"/>
    </row>
    <row r="403">
      <c r="A403" s="13"/>
      <c r="B403" s="41"/>
      <c r="D403" s="12"/>
      <c r="E403" s="14"/>
      <c r="F403" s="14"/>
      <c r="M403" s="14"/>
      <c r="AL403" s="19"/>
      <c r="AM403" s="19"/>
      <c r="AN403" s="19"/>
    </row>
    <row r="404">
      <c r="A404" s="13"/>
      <c r="B404" s="41"/>
      <c r="D404" s="12"/>
      <c r="E404" s="14"/>
      <c r="F404" s="14"/>
      <c r="M404" s="14"/>
      <c r="AL404" s="19"/>
      <c r="AM404" s="19"/>
      <c r="AN404" s="19"/>
    </row>
    <row r="405">
      <c r="A405" s="13"/>
      <c r="B405" s="41"/>
      <c r="D405" s="12"/>
      <c r="E405" s="14"/>
      <c r="F405" s="14"/>
      <c r="M405" s="14"/>
      <c r="AL405" s="19"/>
      <c r="AM405" s="19"/>
      <c r="AN405" s="19"/>
    </row>
    <row r="406">
      <c r="A406" s="13"/>
      <c r="B406" s="41"/>
      <c r="D406" s="12"/>
      <c r="E406" s="14"/>
      <c r="F406" s="14"/>
      <c r="M406" s="14"/>
      <c r="AL406" s="19"/>
      <c r="AM406" s="19"/>
      <c r="AN406" s="19"/>
    </row>
    <row r="407">
      <c r="A407" s="13"/>
      <c r="B407" s="41"/>
      <c r="D407" s="12"/>
      <c r="E407" s="14"/>
      <c r="F407" s="14"/>
      <c r="M407" s="14"/>
      <c r="AL407" s="19"/>
      <c r="AM407" s="19"/>
      <c r="AN407" s="19"/>
    </row>
    <row r="408">
      <c r="A408" s="13"/>
      <c r="B408" s="41"/>
      <c r="D408" s="12"/>
      <c r="E408" s="14"/>
      <c r="F408" s="14"/>
      <c r="M408" s="14"/>
      <c r="AL408" s="19"/>
      <c r="AM408" s="19"/>
      <c r="AN408" s="19"/>
    </row>
    <row r="409">
      <c r="A409" s="13"/>
      <c r="B409" s="41"/>
      <c r="D409" s="12"/>
      <c r="E409" s="14"/>
      <c r="F409" s="14"/>
      <c r="M409" s="14"/>
      <c r="AL409" s="19"/>
      <c r="AM409" s="19"/>
      <c r="AN409" s="19"/>
    </row>
    <row r="410">
      <c r="A410" s="13"/>
      <c r="B410" s="41"/>
      <c r="D410" s="12"/>
      <c r="E410" s="14"/>
      <c r="F410" s="14"/>
      <c r="M410" s="14"/>
      <c r="AL410" s="19"/>
      <c r="AM410" s="19"/>
      <c r="AN410" s="19"/>
    </row>
    <row r="411">
      <c r="A411" s="13"/>
      <c r="B411" s="41"/>
      <c r="D411" s="12"/>
      <c r="E411" s="14"/>
      <c r="F411" s="14"/>
      <c r="M411" s="14"/>
      <c r="AL411" s="19"/>
      <c r="AM411" s="19"/>
      <c r="AN411" s="19"/>
    </row>
    <row r="412">
      <c r="A412" s="13"/>
      <c r="B412" s="41"/>
      <c r="D412" s="12"/>
      <c r="E412" s="14"/>
      <c r="F412" s="14"/>
      <c r="M412" s="14"/>
      <c r="AL412" s="19"/>
      <c r="AM412" s="19"/>
      <c r="AN412" s="19"/>
    </row>
    <row r="413">
      <c r="A413" s="13"/>
      <c r="B413" s="41"/>
      <c r="D413" s="12"/>
      <c r="E413" s="14"/>
      <c r="F413" s="14"/>
      <c r="M413" s="14"/>
      <c r="AL413" s="19"/>
      <c r="AM413" s="19"/>
      <c r="AN413" s="19"/>
    </row>
    <row r="414">
      <c r="A414" s="13"/>
      <c r="B414" s="41"/>
      <c r="D414" s="12"/>
      <c r="E414" s="14"/>
      <c r="F414" s="14"/>
      <c r="M414" s="14"/>
      <c r="AL414" s="19"/>
      <c r="AM414" s="19"/>
      <c r="AN414" s="19"/>
    </row>
    <row r="415">
      <c r="A415" s="13"/>
      <c r="B415" s="41"/>
      <c r="D415" s="12"/>
      <c r="E415" s="14"/>
      <c r="F415" s="14"/>
      <c r="M415" s="14"/>
      <c r="AL415" s="19"/>
      <c r="AM415" s="19"/>
      <c r="AN415" s="19"/>
    </row>
    <row r="416">
      <c r="A416" s="13"/>
      <c r="B416" s="41"/>
      <c r="D416" s="12"/>
      <c r="E416" s="14"/>
      <c r="F416" s="14"/>
      <c r="M416" s="14"/>
      <c r="AL416" s="19"/>
      <c r="AM416" s="19"/>
      <c r="AN416" s="19"/>
    </row>
    <row r="417">
      <c r="A417" s="13"/>
      <c r="B417" s="41"/>
      <c r="D417" s="12"/>
      <c r="E417" s="14"/>
      <c r="F417" s="14"/>
      <c r="M417" s="14"/>
      <c r="AL417" s="19"/>
      <c r="AM417" s="19"/>
      <c r="AN417" s="19"/>
    </row>
    <row r="418">
      <c r="A418" s="13"/>
      <c r="B418" s="41"/>
      <c r="D418" s="12"/>
      <c r="E418" s="14"/>
      <c r="F418" s="14"/>
      <c r="M418" s="14"/>
      <c r="AL418" s="19"/>
      <c r="AM418" s="19"/>
      <c r="AN418" s="19"/>
    </row>
    <row r="419">
      <c r="A419" s="13"/>
      <c r="B419" s="41"/>
      <c r="D419" s="12"/>
      <c r="E419" s="14"/>
      <c r="F419" s="14"/>
      <c r="M419" s="14"/>
      <c r="AL419" s="19"/>
      <c r="AM419" s="19"/>
      <c r="AN419" s="19"/>
    </row>
    <row r="420">
      <c r="A420" s="13"/>
      <c r="B420" s="41"/>
      <c r="D420" s="12"/>
      <c r="E420" s="14"/>
      <c r="F420" s="14"/>
      <c r="M420" s="14"/>
      <c r="AL420" s="19"/>
      <c r="AM420" s="19"/>
      <c r="AN420" s="19"/>
    </row>
    <row r="421">
      <c r="A421" s="13"/>
      <c r="B421" s="41"/>
      <c r="D421" s="12"/>
      <c r="E421" s="14"/>
      <c r="F421" s="14"/>
      <c r="M421" s="14"/>
      <c r="AL421" s="19"/>
      <c r="AM421" s="19"/>
      <c r="AN421" s="19"/>
    </row>
    <row r="422">
      <c r="A422" s="13"/>
      <c r="B422" s="41"/>
      <c r="D422" s="12"/>
      <c r="E422" s="14"/>
      <c r="F422" s="14"/>
      <c r="M422" s="14"/>
      <c r="AL422" s="19"/>
      <c r="AM422" s="19"/>
      <c r="AN422" s="19"/>
    </row>
    <row r="423">
      <c r="A423" s="13"/>
      <c r="B423" s="41"/>
      <c r="D423" s="12"/>
      <c r="E423" s="14"/>
      <c r="F423" s="14"/>
      <c r="M423" s="14"/>
      <c r="AL423" s="19"/>
      <c r="AM423" s="19"/>
      <c r="AN423" s="19"/>
    </row>
    <row r="424">
      <c r="A424" s="13"/>
      <c r="B424" s="41"/>
      <c r="D424" s="12"/>
      <c r="E424" s="14"/>
      <c r="F424" s="14"/>
      <c r="M424" s="14"/>
      <c r="AL424" s="19"/>
      <c r="AM424" s="19"/>
      <c r="AN424" s="19"/>
    </row>
    <row r="425">
      <c r="A425" s="13"/>
      <c r="B425" s="41"/>
      <c r="D425" s="12"/>
      <c r="E425" s="14"/>
      <c r="F425" s="14"/>
      <c r="M425" s="14"/>
      <c r="AL425" s="19"/>
      <c r="AM425" s="19"/>
      <c r="AN425" s="19"/>
    </row>
    <row r="426">
      <c r="A426" s="13"/>
      <c r="B426" s="41"/>
      <c r="D426" s="12"/>
      <c r="E426" s="14"/>
      <c r="F426" s="14"/>
      <c r="M426" s="14"/>
      <c r="AL426" s="19"/>
      <c r="AM426" s="19"/>
      <c r="AN426" s="19"/>
    </row>
    <row r="427">
      <c r="A427" s="13"/>
      <c r="B427" s="41"/>
      <c r="D427" s="12"/>
      <c r="E427" s="14"/>
      <c r="F427" s="14"/>
      <c r="M427" s="14"/>
      <c r="AL427" s="19"/>
      <c r="AM427" s="19"/>
      <c r="AN427" s="19"/>
    </row>
    <row r="428">
      <c r="A428" s="13"/>
      <c r="B428" s="41"/>
      <c r="D428" s="12"/>
      <c r="E428" s="14"/>
      <c r="F428" s="14"/>
      <c r="M428" s="14"/>
      <c r="AL428" s="19"/>
      <c r="AM428" s="19"/>
      <c r="AN428" s="19"/>
    </row>
    <row r="429">
      <c r="A429" s="13"/>
      <c r="B429" s="41"/>
      <c r="D429" s="12"/>
      <c r="E429" s="14"/>
      <c r="F429" s="14"/>
      <c r="M429" s="14"/>
      <c r="AL429" s="19"/>
      <c r="AM429" s="19"/>
      <c r="AN429" s="19"/>
    </row>
    <row r="430">
      <c r="A430" s="13"/>
      <c r="B430" s="41"/>
      <c r="D430" s="12"/>
      <c r="E430" s="14"/>
      <c r="F430" s="14"/>
      <c r="M430" s="14"/>
      <c r="AL430" s="19"/>
      <c r="AM430" s="19"/>
      <c r="AN430" s="19"/>
    </row>
    <row r="431">
      <c r="A431" s="13"/>
      <c r="B431" s="41"/>
      <c r="D431" s="12"/>
      <c r="E431" s="14"/>
      <c r="F431" s="14"/>
      <c r="M431" s="14"/>
      <c r="AL431" s="19"/>
      <c r="AM431" s="19"/>
      <c r="AN431" s="19"/>
    </row>
    <row r="432">
      <c r="A432" s="13"/>
      <c r="B432" s="41"/>
      <c r="D432" s="12"/>
      <c r="E432" s="14"/>
      <c r="F432" s="14"/>
      <c r="M432" s="14"/>
      <c r="AL432" s="19"/>
      <c r="AM432" s="19"/>
      <c r="AN432" s="19"/>
    </row>
    <row r="433">
      <c r="A433" s="13"/>
      <c r="B433" s="41"/>
      <c r="D433" s="12"/>
      <c r="E433" s="14"/>
      <c r="F433" s="14"/>
      <c r="M433" s="14"/>
      <c r="AL433" s="19"/>
      <c r="AM433" s="19"/>
      <c r="AN433" s="19"/>
    </row>
    <row r="434">
      <c r="A434" s="13"/>
      <c r="B434" s="41"/>
      <c r="D434" s="12"/>
      <c r="E434" s="14"/>
      <c r="F434" s="14"/>
      <c r="M434" s="14"/>
      <c r="AL434" s="19"/>
      <c r="AM434" s="19"/>
      <c r="AN434" s="19"/>
    </row>
    <row r="435">
      <c r="A435" s="13"/>
      <c r="B435" s="41"/>
      <c r="D435" s="12"/>
      <c r="E435" s="14"/>
      <c r="F435" s="14"/>
      <c r="M435" s="14"/>
      <c r="AL435" s="19"/>
      <c r="AM435" s="19"/>
      <c r="AN435" s="19"/>
    </row>
    <row r="436">
      <c r="A436" s="13"/>
      <c r="B436" s="41"/>
      <c r="D436" s="12"/>
      <c r="E436" s="14"/>
      <c r="F436" s="14"/>
      <c r="M436" s="14"/>
      <c r="AL436" s="19"/>
      <c r="AM436" s="19"/>
      <c r="AN436" s="19"/>
    </row>
    <row r="437">
      <c r="A437" s="13"/>
      <c r="B437" s="41"/>
      <c r="D437" s="12"/>
      <c r="E437" s="14"/>
      <c r="F437" s="14"/>
      <c r="M437" s="14"/>
      <c r="AL437" s="19"/>
      <c r="AM437" s="19"/>
      <c r="AN437" s="19"/>
    </row>
    <row r="438">
      <c r="A438" s="13"/>
      <c r="B438" s="41"/>
      <c r="D438" s="12"/>
      <c r="E438" s="14"/>
      <c r="F438" s="14"/>
      <c r="M438" s="14"/>
      <c r="AL438" s="19"/>
      <c r="AM438" s="19"/>
      <c r="AN438" s="19"/>
    </row>
    <row r="439">
      <c r="A439" s="13"/>
      <c r="B439" s="41"/>
      <c r="D439" s="12"/>
      <c r="E439" s="14"/>
      <c r="F439" s="14"/>
      <c r="M439" s="14"/>
      <c r="AL439" s="19"/>
      <c r="AM439" s="19"/>
      <c r="AN439" s="19"/>
    </row>
    <row r="440">
      <c r="A440" s="13"/>
      <c r="B440" s="41"/>
      <c r="D440" s="12"/>
      <c r="E440" s="14"/>
      <c r="F440" s="14"/>
      <c r="M440" s="14"/>
      <c r="AL440" s="19"/>
      <c r="AM440" s="19"/>
      <c r="AN440" s="19"/>
    </row>
    <row r="441">
      <c r="A441" s="13"/>
      <c r="B441" s="41"/>
      <c r="D441" s="12"/>
      <c r="E441" s="14"/>
      <c r="F441" s="14"/>
      <c r="M441" s="14"/>
      <c r="AL441" s="19"/>
      <c r="AM441" s="19"/>
      <c r="AN441" s="19"/>
    </row>
    <row r="442">
      <c r="A442" s="13"/>
      <c r="B442" s="41"/>
      <c r="D442" s="12"/>
      <c r="E442" s="14"/>
      <c r="F442" s="14"/>
      <c r="M442" s="14"/>
      <c r="AL442" s="19"/>
      <c r="AM442" s="19"/>
      <c r="AN442" s="19"/>
    </row>
    <row r="443">
      <c r="A443" s="13"/>
      <c r="B443" s="41"/>
      <c r="D443" s="12"/>
      <c r="E443" s="14"/>
      <c r="F443" s="14"/>
      <c r="M443" s="14"/>
      <c r="AL443" s="19"/>
      <c r="AM443" s="19"/>
      <c r="AN443" s="19"/>
    </row>
    <row r="444">
      <c r="A444" s="13"/>
      <c r="B444" s="41"/>
      <c r="D444" s="12"/>
      <c r="E444" s="14"/>
      <c r="F444" s="14"/>
      <c r="M444" s="14"/>
      <c r="AL444" s="19"/>
      <c r="AM444" s="19"/>
      <c r="AN444" s="19"/>
    </row>
    <row r="445">
      <c r="A445" s="13"/>
      <c r="B445" s="41"/>
      <c r="D445" s="12"/>
      <c r="E445" s="14"/>
      <c r="F445" s="14"/>
      <c r="M445" s="14"/>
      <c r="AL445" s="19"/>
      <c r="AM445" s="19"/>
      <c r="AN445" s="19"/>
    </row>
    <row r="446">
      <c r="A446" s="13"/>
      <c r="B446" s="41"/>
      <c r="D446" s="12"/>
      <c r="E446" s="14"/>
      <c r="F446" s="14"/>
      <c r="M446" s="14"/>
      <c r="AL446" s="19"/>
      <c r="AM446" s="19"/>
      <c r="AN446" s="19"/>
    </row>
    <row r="447">
      <c r="A447" s="13"/>
      <c r="B447" s="41"/>
      <c r="D447" s="12"/>
      <c r="E447" s="14"/>
      <c r="F447" s="14"/>
      <c r="M447" s="14"/>
      <c r="AL447" s="19"/>
      <c r="AM447" s="19"/>
      <c r="AN447" s="19"/>
    </row>
    <row r="448">
      <c r="A448" s="13"/>
      <c r="B448" s="41"/>
      <c r="D448" s="12"/>
      <c r="E448" s="14"/>
      <c r="F448" s="14"/>
      <c r="M448" s="14"/>
      <c r="AL448" s="19"/>
      <c r="AM448" s="19"/>
      <c r="AN448" s="19"/>
    </row>
    <row r="449">
      <c r="A449" s="13"/>
      <c r="B449" s="41"/>
      <c r="D449" s="12"/>
      <c r="E449" s="14"/>
      <c r="F449" s="14"/>
      <c r="M449" s="14"/>
      <c r="AL449" s="19"/>
      <c r="AM449" s="19"/>
      <c r="AN449" s="19"/>
    </row>
    <row r="450">
      <c r="A450" s="13"/>
      <c r="B450" s="41"/>
      <c r="D450" s="12"/>
      <c r="E450" s="14"/>
      <c r="F450" s="14"/>
      <c r="M450" s="14"/>
      <c r="AL450" s="19"/>
      <c r="AM450" s="19"/>
      <c r="AN450" s="19"/>
    </row>
    <row r="451">
      <c r="A451" s="13"/>
      <c r="B451" s="41"/>
      <c r="D451" s="12"/>
      <c r="E451" s="14"/>
      <c r="F451" s="14"/>
      <c r="M451" s="14"/>
      <c r="AL451" s="19"/>
      <c r="AM451" s="19"/>
      <c r="AN451" s="19"/>
    </row>
    <row r="452">
      <c r="A452" s="13"/>
      <c r="B452" s="41"/>
      <c r="D452" s="12"/>
      <c r="E452" s="14"/>
      <c r="F452" s="14"/>
      <c r="M452" s="14"/>
      <c r="AL452" s="19"/>
      <c r="AM452" s="19"/>
      <c r="AN452" s="19"/>
    </row>
    <row r="453">
      <c r="A453" s="13"/>
      <c r="B453" s="41"/>
      <c r="D453" s="12"/>
      <c r="E453" s="14"/>
      <c r="F453" s="14"/>
      <c r="M453" s="14"/>
      <c r="AL453" s="19"/>
      <c r="AM453" s="19"/>
      <c r="AN453" s="19"/>
    </row>
    <row r="454">
      <c r="A454" s="13"/>
      <c r="B454" s="41"/>
      <c r="D454" s="12"/>
      <c r="E454" s="14"/>
      <c r="F454" s="14"/>
      <c r="M454" s="14"/>
      <c r="AL454" s="19"/>
      <c r="AM454" s="19"/>
      <c r="AN454" s="19"/>
    </row>
    <row r="455">
      <c r="A455" s="13"/>
      <c r="B455" s="41"/>
      <c r="D455" s="12"/>
      <c r="E455" s="14"/>
      <c r="F455" s="14"/>
      <c r="M455" s="14"/>
      <c r="AL455" s="19"/>
      <c r="AM455" s="19"/>
      <c r="AN455" s="19"/>
    </row>
    <row r="456">
      <c r="A456" s="13"/>
      <c r="B456" s="41"/>
      <c r="D456" s="12"/>
      <c r="E456" s="14"/>
      <c r="F456" s="14"/>
      <c r="M456" s="14"/>
      <c r="AL456" s="19"/>
      <c r="AM456" s="19"/>
      <c r="AN456" s="19"/>
    </row>
    <row r="457">
      <c r="A457" s="13"/>
      <c r="B457" s="41"/>
      <c r="D457" s="12"/>
      <c r="E457" s="14"/>
      <c r="F457" s="14"/>
      <c r="M457" s="14"/>
      <c r="AL457" s="19"/>
      <c r="AM457" s="19"/>
      <c r="AN457" s="19"/>
    </row>
    <row r="458">
      <c r="A458" s="13"/>
      <c r="B458" s="41"/>
      <c r="D458" s="12"/>
      <c r="E458" s="14"/>
      <c r="F458" s="14"/>
      <c r="M458" s="14"/>
      <c r="AL458" s="19"/>
      <c r="AM458" s="19"/>
      <c r="AN458" s="19"/>
    </row>
    <row r="459">
      <c r="A459" s="13"/>
      <c r="B459" s="41"/>
      <c r="D459" s="12"/>
      <c r="E459" s="14"/>
      <c r="F459" s="14"/>
      <c r="M459" s="14"/>
      <c r="AL459" s="19"/>
      <c r="AM459" s="19"/>
      <c r="AN459" s="19"/>
    </row>
    <row r="460">
      <c r="A460" s="13"/>
      <c r="B460" s="41"/>
      <c r="D460" s="12"/>
      <c r="E460" s="14"/>
      <c r="F460" s="14"/>
      <c r="M460" s="14"/>
      <c r="AL460" s="19"/>
      <c r="AM460" s="19"/>
      <c r="AN460" s="19"/>
    </row>
    <row r="461">
      <c r="A461" s="13"/>
      <c r="B461" s="41"/>
      <c r="D461" s="12"/>
      <c r="E461" s="14"/>
      <c r="F461" s="14"/>
      <c r="M461" s="14"/>
      <c r="AL461" s="19"/>
      <c r="AM461" s="19"/>
      <c r="AN461" s="19"/>
    </row>
    <row r="462">
      <c r="A462" s="13"/>
      <c r="B462" s="41"/>
      <c r="D462" s="12"/>
      <c r="E462" s="14"/>
      <c r="F462" s="14"/>
      <c r="M462" s="14"/>
      <c r="AL462" s="19"/>
      <c r="AM462" s="19"/>
      <c r="AN462" s="19"/>
    </row>
    <row r="463">
      <c r="A463" s="13"/>
      <c r="B463" s="41"/>
      <c r="D463" s="12"/>
      <c r="E463" s="14"/>
      <c r="F463" s="14"/>
      <c r="M463" s="14"/>
      <c r="AL463" s="19"/>
      <c r="AM463" s="19"/>
      <c r="AN463" s="19"/>
    </row>
    <row r="464">
      <c r="A464" s="13"/>
      <c r="B464" s="41"/>
      <c r="D464" s="12"/>
      <c r="E464" s="14"/>
      <c r="F464" s="14"/>
      <c r="M464" s="14"/>
      <c r="AL464" s="19"/>
      <c r="AM464" s="19"/>
      <c r="AN464" s="19"/>
    </row>
    <row r="465">
      <c r="A465" s="13"/>
      <c r="B465" s="41"/>
      <c r="D465" s="12"/>
      <c r="E465" s="14"/>
      <c r="F465" s="14"/>
      <c r="M465" s="14"/>
      <c r="AL465" s="19"/>
      <c r="AM465" s="19"/>
      <c r="AN465" s="19"/>
    </row>
    <row r="466">
      <c r="A466" s="13"/>
      <c r="B466" s="41"/>
      <c r="D466" s="12"/>
      <c r="E466" s="14"/>
      <c r="F466" s="14"/>
      <c r="M466" s="14"/>
      <c r="AL466" s="19"/>
      <c r="AM466" s="19"/>
      <c r="AN466" s="19"/>
    </row>
    <row r="467">
      <c r="A467" s="13"/>
      <c r="B467" s="41"/>
      <c r="D467" s="12"/>
      <c r="E467" s="14"/>
      <c r="F467" s="14"/>
      <c r="M467" s="14"/>
      <c r="AL467" s="19"/>
      <c r="AM467" s="19"/>
      <c r="AN467" s="19"/>
    </row>
    <row r="468">
      <c r="A468" s="13"/>
      <c r="B468" s="41"/>
      <c r="D468" s="12"/>
      <c r="E468" s="14"/>
      <c r="F468" s="14"/>
      <c r="M468" s="14"/>
      <c r="AL468" s="19"/>
      <c r="AM468" s="19"/>
      <c r="AN468" s="19"/>
    </row>
    <row r="469">
      <c r="A469" s="13"/>
      <c r="B469" s="41"/>
      <c r="D469" s="12"/>
      <c r="E469" s="14"/>
      <c r="F469" s="14"/>
      <c r="M469" s="14"/>
      <c r="AL469" s="19"/>
      <c r="AM469" s="19"/>
      <c r="AN469" s="19"/>
    </row>
    <row r="470">
      <c r="A470" s="13"/>
      <c r="B470" s="41"/>
      <c r="D470" s="12"/>
      <c r="E470" s="14"/>
      <c r="F470" s="14"/>
      <c r="M470" s="14"/>
      <c r="AL470" s="19"/>
      <c r="AM470" s="19"/>
      <c r="AN470" s="19"/>
    </row>
    <row r="471">
      <c r="A471" s="13"/>
      <c r="B471" s="41"/>
      <c r="D471" s="12"/>
      <c r="E471" s="14"/>
      <c r="F471" s="14"/>
      <c r="M471" s="14"/>
      <c r="AL471" s="19"/>
      <c r="AM471" s="19"/>
      <c r="AN471" s="19"/>
    </row>
    <row r="472">
      <c r="A472" s="13"/>
      <c r="B472" s="41"/>
      <c r="D472" s="12"/>
      <c r="E472" s="14"/>
      <c r="F472" s="14"/>
      <c r="M472" s="14"/>
      <c r="AL472" s="19"/>
      <c r="AM472" s="19"/>
      <c r="AN472" s="19"/>
    </row>
    <row r="473">
      <c r="A473" s="13"/>
      <c r="B473" s="41"/>
      <c r="D473" s="12"/>
      <c r="E473" s="14"/>
      <c r="F473" s="14"/>
      <c r="M473" s="14"/>
      <c r="AL473" s="19"/>
      <c r="AM473" s="19"/>
      <c r="AN473" s="19"/>
    </row>
    <row r="474">
      <c r="A474" s="13"/>
      <c r="B474" s="41"/>
      <c r="D474" s="12"/>
      <c r="E474" s="14"/>
      <c r="F474" s="14"/>
      <c r="M474" s="14"/>
      <c r="AL474" s="19"/>
      <c r="AM474" s="19"/>
      <c r="AN474" s="19"/>
    </row>
    <row r="475">
      <c r="A475" s="13"/>
      <c r="B475" s="41"/>
      <c r="D475" s="12"/>
      <c r="E475" s="14"/>
      <c r="F475" s="14"/>
      <c r="M475" s="14"/>
      <c r="AL475" s="19"/>
      <c r="AM475" s="19"/>
      <c r="AN475" s="19"/>
    </row>
    <row r="476">
      <c r="A476" s="13"/>
      <c r="B476" s="41"/>
      <c r="D476" s="12"/>
      <c r="E476" s="14"/>
      <c r="F476" s="14"/>
      <c r="M476" s="14"/>
      <c r="AL476" s="19"/>
      <c r="AM476" s="19"/>
      <c r="AN476" s="19"/>
    </row>
    <row r="477">
      <c r="A477" s="13"/>
      <c r="B477" s="41"/>
      <c r="D477" s="12"/>
      <c r="E477" s="14"/>
      <c r="F477" s="14"/>
      <c r="M477" s="14"/>
      <c r="AL477" s="19"/>
      <c r="AM477" s="19"/>
      <c r="AN477" s="19"/>
    </row>
    <row r="478">
      <c r="A478" s="13"/>
      <c r="B478" s="41"/>
      <c r="D478" s="12"/>
      <c r="E478" s="14"/>
      <c r="F478" s="14"/>
      <c r="M478" s="14"/>
      <c r="AL478" s="19"/>
      <c r="AM478" s="19"/>
      <c r="AN478" s="19"/>
    </row>
    <row r="479">
      <c r="A479" s="13"/>
      <c r="B479" s="41"/>
      <c r="D479" s="12"/>
      <c r="E479" s="14"/>
      <c r="F479" s="14"/>
      <c r="M479" s="14"/>
      <c r="AL479" s="19"/>
      <c r="AM479" s="19"/>
      <c r="AN479" s="19"/>
    </row>
    <row r="480">
      <c r="A480" s="13"/>
      <c r="B480" s="41"/>
      <c r="D480" s="12"/>
      <c r="E480" s="14"/>
      <c r="F480" s="14"/>
      <c r="M480" s="14"/>
      <c r="AL480" s="19"/>
      <c r="AM480" s="19"/>
      <c r="AN480" s="19"/>
    </row>
    <row r="481">
      <c r="A481" s="13"/>
      <c r="B481" s="41"/>
      <c r="D481" s="12"/>
      <c r="E481" s="14"/>
      <c r="F481" s="14"/>
      <c r="M481" s="14"/>
      <c r="AL481" s="19"/>
      <c r="AM481" s="19"/>
      <c r="AN481" s="19"/>
    </row>
    <row r="482">
      <c r="A482" s="13"/>
      <c r="B482" s="41"/>
      <c r="D482" s="12"/>
      <c r="E482" s="14"/>
      <c r="F482" s="14"/>
      <c r="M482" s="14"/>
      <c r="AL482" s="19"/>
      <c r="AM482" s="19"/>
      <c r="AN482" s="19"/>
    </row>
    <row r="483">
      <c r="A483" s="13"/>
      <c r="B483" s="41"/>
      <c r="D483" s="12"/>
      <c r="E483" s="14"/>
      <c r="F483" s="14"/>
      <c r="M483" s="14"/>
      <c r="AL483" s="19"/>
      <c r="AM483" s="19"/>
      <c r="AN483" s="19"/>
    </row>
    <row r="484">
      <c r="A484" s="13"/>
      <c r="B484" s="41"/>
      <c r="D484" s="12"/>
      <c r="E484" s="14"/>
      <c r="F484" s="14"/>
      <c r="M484" s="14"/>
      <c r="AL484" s="19"/>
      <c r="AM484" s="19"/>
      <c r="AN484" s="19"/>
    </row>
    <row r="485">
      <c r="A485" s="13"/>
      <c r="B485" s="41"/>
      <c r="D485" s="12"/>
      <c r="E485" s="14"/>
      <c r="F485" s="14"/>
      <c r="M485" s="14"/>
      <c r="AL485" s="19"/>
      <c r="AM485" s="19"/>
      <c r="AN485" s="19"/>
    </row>
    <row r="486">
      <c r="A486" s="13"/>
      <c r="B486" s="41"/>
      <c r="D486" s="12"/>
      <c r="E486" s="14"/>
      <c r="F486" s="14"/>
      <c r="M486" s="14"/>
      <c r="AL486" s="19"/>
      <c r="AM486" s="19"/>
      <c r="AN486" s="19"/>
    </row>
    <row r="487">
      <c r="A487" s="13"/>
      <c r="B487" s="41"/>
      <c r="D487" s="12"/>
      <c r="E487" s="14"/>
      <c r="F487" s="14"/>
      <c r="M487" s="14"/>
      <c r="AL487" s="19"/>
      <c r="AM487" s="19"/>
      <c r="AN487" s="19"/>
    </row>
    <row r="488">
      <c r="A488" s="13"/>
      <c r="B488" s="41"/>
      <c r="D488" s="12"/>
      <c r="E488" s="14"/>
      <c r="F488" s="14"/>
      <c r="M488" s="14"/>
      <c r="AL488" s="19"/>
      <c r="AM488" s="19"/>
      <c r="AN488" s="19"/>
    </row>
    <row r="489">
      <c r="A489" s="13"/>
      <c r="B489" s="41"/>
      <c r="D489" s="12"/>
      <c r="E489" s="14"/>
      <c r="F489" s="14"/>
      <c r="M489" s="14"/>
      <c r="AL489" s="19"/>
      <c r="AM489" s="19"/>
      <c r="AN489" s="19"/>
    </row>
    <row r="490">
      <c r="A490" s="13"/>
      <c r="B490" s="41"/>
      <c r="D490" s="12"/>
      <c r="E490" s="14"/>
      <c r="F490" s="14"/>
      <c r="M490" s="14"/>
      <c r="AL490" s="19"/>
      <c r="AM490" s="19"/>
      <c r="AN490" s="19"/>
    </row>
    <row r="491">
      <c r="A491" s="13"/>
      <c r="B491" s="41"/>
      <c r="D491" s="12"/>
      <c r="E491" s="14"/>
      <c r="F491" s="14"/>
      <c r="M491" s="14"/>
      <c r="AL491" s="19"/>
      <c r="AM491" s="19"/>
      <c r="AN491" s="19"/>
    </row>
    <row r="492">
      <c r="A492" s="13"/>
      <c r="B492" s="41"/>
      <c r="D492" s="12"/>
      <c r="E492" s="14"/>
      <c r="F492" s="14"/>
      <c r="M492" s="14"/>
      <c r="AL492" s="19"/>
      <c r="AM492" s="19"/>
      <c r="AN492" s="19"/>
    </row>
    <row r="493">
      <c r="A493" s="13"/>
      <c r="B493" s="41"/>
      <c r="D493" s="12"/>
      <c r="E493" s="14"/>
      <c r="F493" s="14"/>
      <c r="M493" s="14"/>
      <c r="AL493" s="19"/>
      <c r="AM493" s="19"/>
      <c r="AN493" s="19"/>
    </row>
    <row r="494">
      <c r="A494" s="13"/>
      <c r="B494" s="41"/>
      <c r="D494" s="12"/>
      <c r="E494" s="14"/>
      <c r="F494" s="14"/>
      <c r="M494" s="14"/>
      <c r="AL494" s="19"/>
      <c r="AM494" s="19"/>
      <c r="AN494" s="19"/>
    </row>
    <row r="495">
      <c r="A495" s="13"/>
      <c r="B495" s="41"/>
      <c r="D495" s="12"/>
      <c r="E495" s="14"/>
      <c r="F495" s="14"/>
      <c r="M495" s="14"/>
      <c r="AL495" s="19"/>
      <c r="AM495" s="19"/>
      <c r="AN495" s="19"/>
    </row>
    <row r="496">
      <c r="A496" s="13"/>
      <c r="B496" s="41"/>
      <c r="D496" s="12"/>
      <c r="E496" s="14"/>
      <c r="F496" s="14"/>
      <c r="M496" s="14"/>
      <c r="AL496" s="19"/>
      <c r="AM496" s="19"/>
      <c r="AN496" s="19"/>
    </row>
    <row r="497">
      <c r="A497" s="13"/>
      <c r="B497" s="41"/>
      <c r="D497" s="12"/>
      <c r="E497" s="14"/>
      <c r="F497" s="14"/>
      <c r="M497" s="14"/>
      <c r="AL497" s="19"/>
      <c r="AM497" s="19"/>
      <c r="AN497" s="19"/>
    </row>
    <row r="498">
      <c r="A498" s="13"/>
      <c r="B498" s="41"/>
      <c r="D498" s="12"/>
      <c r="E498" s="14"/>
      <c r="F498" s="14"/>
      <c r="M498" s="14"/>
      <c r="AL498" s="19"/>
      <c r="AM498" s="19"/>
      <c r="AN498" s="19"/>
    </row>
    <row r="499">
      <c r="A499" s="13"/>
      <c r="B499" s="41"/>
      <c r="D499" s="12"/>
      <c r="E499" s="14"/>
      <c r="F499" s="14"/>
      <c r="M499" s="14"/>
      <c r="AL499" s="19"/>
      <c r="AM499" s="19"/>
      <c r="AN499" s="19"/>
    </row>
    <row r="500">
      <c r="A500" s="13"/>
      <c r="B500" s="41"/>
      <c r="D500" s="12"/>
      <c r="E500" s="14"/>
      <c r="F500" s="14"/>
      <c r="M500" s="14"/>
      <c r="AL500" s="19"/>
      <c r="AM500" s="19"/>
      <c r="AN500" s="19"/>
    </row>
    <row r="501">
      <c r="A501" s="13"/>
      <c r="B501" s="41"/>
      <c r="D501" s="12"/>
      <c r="E501" s="14"/>
      <c r="F501" s="14"/>
      <c r="M501" s="14"/>
      <c r="AL501" s="19"/>
      <c r="AM501" s="19"/>
      <c r="AN501" s="19"/>
    </row>
    <row r="502">
      <c r="A502" s="13"/>
      <c r="B502" s="41"/>
      <c r="D502" s="12"/>
      <c r="E502" s="14"/>
      <c r="F502" s="14"/>
      <c r="M502" s="14"/>
      <c r="AL502" s="19"/>
      <c r="AM502" s="19"/>
      <c r="AN502" s="19"/>
    </row>
    <row r="503">
      <c r="A503" s="13"/>
      <c r="B503" s="41"/>
      <c r="D503" s="12"/>
      <c r="E503" s="14"/>
      <c r="F503" s="14"/>
      <c r="M503" s="14"/>
      <c r="AL503" s="19"/>
      <c r="AM503" s="19"/>
      <c r="AN503" s="19"/>
    </row>
    <row r="504">
      <c r="A504" s="13"/>
      <c r="B504" s="41"/>
      <c r="D504" s="12"/>
      <c r="E504" s="14"/>
      <c r="F504" s="14"/>
      <c r="M504" s="14"/>
      <c r="AL504" s="19"/>
      <c r="AM504" s="19"/>
      <c r="AN504" s="19"/>
    </row>
    <row r="505">
      <c r="A505" s="13"/>
      <c r="B505" s="41"/>
      <c r="D505" s="12"/>
      <c r="E505" s="14"/>
      <c r="F505" s="14"/>
      <c r="M505" s="14"/>
      <c r="AL505" s="19"/>
      <c r="AM505" s="19"/>
      <c r="AN505" s="19"/>
    </row>
    <row r="506">
      <c r="A506" s="13"/>
      <c r="B506" s="41"/>
      <c r="D506" s="12"/>
      <c r="E506" s="14"/>
      <c r="F506" s="14"/>
      <c r="M506" s="14"/>
      <c r="AL506" s="19"/>
      <c r="AM506" s="19"/>
      <c r="AN506" s="19"/>
    </row>
    <row r="507">
      <c r="A507" s="13"/>
      <c r="B507" s="41"/>
      <c r="D507" s="12"/>
      <c r="E507" s="14"/>
      <c r="F507" s="14"/>
      <c r="M507" s="14"/>
      <c r="AL507" s="19"/>
      <c r="AM507" s="19"/>
      <c r="AN507" s="19"/>
    </row>
    <row r="508">
      <c r="A508" s="13"/>
      <c r="B508" s="41"/>
      <c r="D508" s="12"/>
      <c r="E508" s="14"/>
      <c r="F508" s="14"/>
      <c r="M508" s="14"/>
      <c r="AL508" s="19"/>
      <c r="AM508" s="19"/>
      <c r="AN508" s="19"/>
    </row>
    <row r="509">
      <c r="A509" s="13"/>
      <c r="B509" s="41"/>
      <c r="D509" s="12"/>
      <c r="E509" s="14"/>
      <c r="F509" s="14"/>
      <c r="M509" s="14"/>
      <c r="AL509" s="19"/>
      <c r="AM509" s="19"/>
      <c r="AN509" s="19"/>
    </row>
    <row r="510">
      <c r="A510" s="13"/>
      <c r="B510" s="41"/>
      <c r="D510" s="12"/>
      <c r="E510" s="14"/>
      <c r="F510" s="14"/>
      <c r="M510" s="14"/>
      <c r="AL510" s="19"/>
      <c r="AM510" s="19"/>
      <c r="AN510" s="19"/>
    </row>
    <row r="511">
      <c r="A511" s="13"/>
      <c r="B511" s="41"/>
      <c r="D511" s="12"/>
      <c r="E511" s="14"/>
      <c r="F511" s="14"/>
      <c r="M511" s="14"/>
      <c r="AL511" s="19"/>
      <c r="AM511" s="19"/>
      <c r="AN511" s="19"/>
    </row>
    <row r="512">
      <c r="A512" s="13"/>
      <c r="B512" s="41"/>
      <c r="D512" s="12"/>
      <c r="E512" s="14"/>
      <c r="F512" s="14"/>
      <c r="M512" s="14"/>
      <c r="AL512" s="19"/>
      <c r="AM512" s="19"/>
      <c r="AN512" s="19"/>
    </row>
    <row r="513">
      <c r="A513" s="13"/>
      <c r="B513" s="41"/>
      <c r="D513" s="12"/>
      <c r="E513" s="14"/>
      <c r="F513" s="14"/>
      <c r="M513" s="14"/>
      <c r="AL513" s="19"/>
      <c r="AM513" s="19"/>
      <c r="AN513" s="19"/>
    </row>
    <row r="514">
      <c r="A514" s="13"/>
      <c r="B514" s="41"/>
      <c r="D514" s="12"/>
      <c r="E514" s="14"/>
      <c r="F514" s="14"/>
      <c r="M514" s="14"/>
      <c r="AL514" s="19"/>
      <c r="AM514" s="19"/>
      <c r="AN514" s="19"/>
    </row>
    <row r="515">
      <c r="A515" s="13"/>
      <c r="B515" s="41"/>
      <c r="D515" s="12"/>
      <c r="E515" s="14"/>
      <c r="F515" s="14"/>
      <c r="M515" s="14"/>
      <c r="AL515" s="19"/>
      <c r="AM515" s="19"/>
      <c r="AN515" s="19"/>
    </row>
    <row r="516">
      <c r="A516" s="13"/>
      <c r="B516" s="41"/>
      <c r="D516" s="12"/>
      <c r="E516" s="14"/>
      <c r="F516" s="14"/>
      <c r="M516" s="14"/>
      <c r="AL516" s="19"/>
      <c r="AM516" s="19"/>
      <c r="AN516" s="19"/>
    </row>
    <row r="517">
      <c r="A517" s="13"/>
      <c r="B517" s="41"/>
      <c r="D517" s="12"/>
      <c r="E517" s="14"/>
      <c r="F517" s="14"/>
      <c r="M517" s="14"/>
      <c r="AL517" s="19"/>
      <c r="AM517" s="19"/>
      <c r="AN517" s="19"/>
    </row>
    <row r="518">
      <c r="A518" s="13"/>
      <c r="B518" s="41"/>
      <c r="D518" s="12"/>
      <c r="E518" s="14"/>
      <c r="F518" s="14"/>
      <c r="M518" s="14"/>
      <c r="AL518" s="19"/>
      <c r="AM518" s="19"/>
      <c r="AN518" s="19"/>
    </row>
    <row r="519">
      <c r="A519" s="13"/>
      <c r="B519" s="41"/>
      <c r="D519" s="12"/>
      <c r="E519" s="14"/>
      <c r="F519" s="14"/>
      <c r="M519" s="14"/>
      <c r="AL519" s="19"/>
      <c r="AM519" s="19"/>
      <c r="AN519" s="19"/>
    </row>
    <row r="520">
      <c r="A520" s="13"/>
      <c r="B520" s="41"/>
      <c r="D520" s="12"/>
      <c r="E520" s="14"/>
      <c r="F520" s="14"/>
      <c r="M520" s="14"/>
      <c r="AL520" s="19"/>
      <c r="AM520" s="19"/>
      <c r="AN520" s="19"/>
    </row>
    <row r="521">
      <c r="A521" s="13"/>
      <c r="B521" s="41"/>
      <c r="D521" s="12"/>
      <c r="E521" s="14"/>
      <c r="F521" s="14"/>
      <c r="M521" s="14"/>
      <c r="AL521" s="19"/>
      <c r="AM521" s="19"/>
      <c r="AN521" s="19"/>
    </row>
    <row r="522">
      <c r="A522" s="13"/>
      <c r="B522" s="41"/>
      <c r="D522" s="12"/>
      <c r="E522" s="14"/>
      <c r="F522" s="14"/>
      <c r="M522" s="14"/>
      <c r="AL522" s="19"/>
      <c r="AM522" s="19"/>
      <c r="AN522" s="19"/>
    </row>
    <row r="523">
      <c r="A523" s="13"/>
      <c r="B523" s="41"/>
      <c r="D523" s="12"/>
      <c r="E523" s="14"/>
      <c r="F523" s="14"/>
      <c r="M523" s="14"/>
      <c r="AL523" s="19"/>
      <c r="AM523" s="19"/>
      <c r="AN523" s="19"/>
    </row>
    <row r="524">
      <c r="A524" s="13"/>
      <c r="B524" s="41"/>
      <c r="D524" s="12"/>
      <c r="E524" s="14"/>
      <c r="F524" s="14"/>
      <c r="M524" s="14"/>
      <c r="AL524" s="19"/>
      <c r="AM524" s="19"/>
      <c r="AN524" s="19"/>
    </row>
    <row r="525">
      <c r="A525" s="13"/>
      <c r="B525" s="41"/>
      <c r="D525" s="12"/>
      <c r="E525" s="14"/>
      <c r="F525" s="14"/>
      <c r="M525" s="14"/>
      <c r="AL525" s="19"/>
      <c r="AM525" s="19"/>
      <c r="AN525" s="19"/>
    </row>
    <row r="526">
      <c r="A526" s="13"/>
      <c r="B526" s="41"/>
      <c r="D526" s="12"/>
      <c r="E526" s="14"/>
      <c r="F526" s="14"/>
      <c r="M526" s="14"/>
      <c r="AL526" s="19"/>
      <c r="AM526" s="19"/>
      <c r="AN526" s="19"/>
    </row>
    <row r="527">
      <c r="A527" s="13"/>
      <c r="B527" s="41"/>
      <c r="D527" s="12"/>
      <c r="E527" s="14"/>
      <c r="F527" s="14"/>
      <c r="M527" s="14"/>
      <c r="AL527" s="19"/>
      <c r="AM527" s="19"/>
      <c r="AN527" s="19"/>
    </row>
    <row r="528">
      <c r="A528" s="13"/>
      <c r="B528" s="41"/>
      <c r="D528" s="12"/>
      <c r="E528" s="14"/>
      <c r="F528" s="14"/>
      <c r="M528" s="14"/>
      <c r="AL528" s="19"/>
      <c r="AM528" s="19"/>
      <c r="AN528" s="19"/>
    </row>
    <row r="529">
      <c r="A529" s="13"/>
      <c r="B529" s="41"/>
      <c r="D529" s="12"/>
      <c r="E529" s="14"/>
      <c r="F529" s="14"/>
      <c r="M529" s="14"/>
      <c r="AL529" s="19"/>
      <c r="AM529" s="19"/>
      <c r="AN529" s="19"/>
    </row>
    <row r="530">
      <c r="A530" s="13"/>
      <c r="B530" s="41"/>
      <c r="D530" s="12"/>
      <c r="E530" s="14"/>
      <c r="F530" s="14"/>
      <c r="M530" s="14"/>
      <c r="AL530" s="19"/>
      <c r="AM530" s="19"/>
      <c r="AN530" s="19"/>
    </row>
    <row r="531">
      <c r="A531" s="13"/>
      <c r="B531" s="41"/>
      <c r="D531" s="12"/>
      <c r="E531" s="14"/>
      <c r="F531" s="14"/>
      <c r="M531" s="14"/>
      <c r="AL531" s="19"/>
      <c r="AM531" s="19"/>
      <c r="AN531" s="19"/>
    </row>
    <row r="532">
      <c r="A532" s="13"/>
      <c r="B532" s="41"/>
      <c r="D532" s="12"/>
      <c r="E532" s="14"/>
      <c r="F532" s="14"/>
      <c r="M532" s="14"/>
      <c r="AL532" s="19"/>
      <c r="AM532" s="19"/>
      <c r="AN532" s="19"/>
    </row>
    <row r="533">
      <c r="A533" s="13"/>
      <c r="B533" s="41"/>
      <c r="D533" s="12"/>
      <c r="E533" s="14"/>
      <c r="F533" s="14"/>
      <c r="M533" s="14"/>
      <c r="AL533" s="19"/>
      <c r="AM533" s="19"/>
      <c r="AN533" s="19"/>
    </row>
    <row r="534">
      <c r="A534" s="13"/>
      <c r="B534" s="41"/>
      <c r="D534" s="12"/>
      <c r="E534" s="14"/>
      <c r="F534" s="14"/>
      <c r="M534" s="14"/>
      <c r="AL534" s="19"/>
      <c r="AM534" s="19"/>
      <c r="AN534" s="19"/>
    </row>
    <row r="535">
      <c r="A535" s="13"/>
      <c r="B535" s="41"/>
      <c r="D535" s="12"/>
      <c r="E535" s="14"/>
      <c r="F535" s="14"/>
      <c r="M535" s="14"/>
      <c r="AL535" s="19"/>
      <c r="AM535" s="19"/>
      <c r="AN535" s="19"/>
    </row>
    <row r="536">
      <c r="A536" s="13"/>
      <c r="B536" s="41"/>
      <c r="D536" s="12"/>
      <c r="E536" s="14"/>
      <c r="F536" s="14"/>
      <c r="M536" s="14"/>
      <c r="AL536" s="19"/>
      <c r="AM536" s="19"/>
      <c r="AN536" s="19"/>
    </row>
    <row r="537">
      <c r="A537" s="13"/>
      <c r="B537" s="41"/>
      <c r="D537" s="12"/>
      <c r="E537" s="14"/>
      <c r="F537" s="14"/>
      <c r="M537" s="14"/>
      <c r="AL537" s="19"/>
      <c r="AM537" s="19"/>
      <c r="AN537" s="19"/>
    </row>
    <row r="538">
      <c r="A538" s="13"/>
      <c r="B538" s="41"/>
      <c r="D538" s="12"/>
      <c r="E538" s="14"/>
      <c r="F538" s="14"/>
      <c r="M538" s="14"/>
      <c r="AL538" s="19"/>
      <c r="AM538" s="19"/>
      <c r="AN538" s="19"/>
    </row>
    <row r="539">
      <c r="A539" s="13"/>
      <c r="B539" s="41"/>
      <c r="D539" s="12"/>
      <c r="E539" s="14"/>
      <c r="F539" s="14"/>
      <c r="M539" s="14"/>
      <c r="AL539" s="19"/>
      <c r="AM539" s="19"/>
      <c r="AN539" s="19"/>
    </row>
    <row r="540">
      <c r="A540" s="13"/>
      <c r="B540" s="41"/>
      <c r="D540" s="12"/>
      <c r="E540" s="14"/>
      <c r="F540" s="14"/>
      <c r="M540" s="14"/>
      <c r="AL540" s="19"/>
      <c r="AM540" s="19"/>
      <c r="AN540" s="19"/>
    </row>
    <row r="541">
      <c r="A541" s="13"/>
      <c r="B541" s="41"/>
      <c r="D541" s="12"/>
      <c r="E541" s="14"/>
      <c r="F541" s="14"/>
      <c r="M541" s="14"/>
      <c r="AL541" s="19"/>
      <c r="AM541" s="19"/>
      <c r="AN541" s="19"/>
    </row>
    <row r="542">
      <c r="A542" s="13"/>
      <c r="B542" s="41"/>
      <c r="D542" s="12"/>
      <c r="E542" s="14"/>
      <c r="F542" s="14"/>
      <c r="M542" s="14"/>
      <c r="AL542" s="19"/>
      <c r="AM542" s="19"/>
      <c r="AN542" s="19"/>
    </row>
    <row r="543">
      <c r="A543" s="13"/>
      <c r="B543" s="41"/>
      <c r="D543" s="12"/>
      <c r="E543" s="14"/>
      <c r="F543" s="14"/>
      <c r="M543" s="14"/>
      <c r="AL543" s="19"/>
      <c r="AM543" s="19"/>
      <c r="AN543" s="19"/>
    </row>
    <row r="544">
      <c r="A544" s="13"/>
      <c r="B544" s="41"/>
      <c r="D544" s="12"/>
      <c r="E544" s="14"/>
      <c r="F544" s="14"/>
      <c r="M544" s="14"/>
      <c r="AL544" s="19"/>
      <c r="AM544" s="19"/>
      <c r="AN544" s="19"/>
    </row>
    <row r="545">
      <c r="A545" s="13"/>
      <c r="B545" s="41"/>
      <c r="D545" s="12"/>
      <c r="E545" s="14"/>
      <c r="F545" s="14"/>
      <c r="M545" s="14"/>
      <c r="AL545" s="19"/>
      <c r="AM545" s="19"/>
      <c r="AN545" s="19"/>
    </row>
    <row r="546">
      <c r="A546" s="13"/>
      <c r="B546" s="41"/>
      <c r="D546" s="12"/>
      <c r="E546" s="14"/>
      <c r="F546" s="14"/>
      <c r="M546" s="14"/>
      <c r="AL546" s="19"/>
      <c r="AM546" s="19"/>
      <c r="AN546" s="19"/>
    </row>
    <row r="547">
      <c r="A547" s="13"/>
      <c r="B547" s="41"/>
      <c r="D547" s="12"/>
      <c r="E547" s="14"/>
      <c r="F547" s="14"/>
      <c r="M547" s="14"/>
      <c r="AL547" s="19"/>
      <c r="AM547" s="19"/>
      <c r="AN547" s="19"/>
    </row>
    <row r="548">
      <c r="A548" s="13"/>
      <c r="B548" s="41"/>
      <c r="D548" s="12"/>
      <c r="E548" s="14"/>
      <c r="F548" s="14"/>
      <c r="M548" s="14"/>
      <c r="AL548" s="19"/>
      <c r="AM548" s="19"/>
      <c r="AN548" s="19"/>
    </row>
    <row r="549">
      <c r="A549" s="13"/>
      <c r="B549" s="41"/>
      <c r="D549" s="12"/>
      <c r="E549" s="14"/>
      <c r="F549" s="14"/>
      <c r="M549" s="14"/>
      <c r="AL549" s="19"/>
      <c r="AM549" s="19"/>
      <c r="AN549" s="19"/>
    </row>
    <row r="550">
      <c r="A550" s="13"/>
      <c r="B550" s="41"/>
      <c r="D550" s="12"/>
      <c r="E550" s="14"/>
      <c r="F550" s="14"/>
      <c r="M550" s="14"/>
      <c r="AL550" s="19"/>
      <c r="AM550" s="19"/>
      <c r="AN550" s="19"/>
    </row>
    <row r="551">
      <c r="A551" s="13"/>
      <c r="B551" s="41"/>
      <c r="D551" s="12"/>
      <c r="E551" s="14"/>
      <c r="F551" s="14"/>
      <c r="M551" s="14"/>
      <c r="AL551" s="19"/>
      <c r="AM551" s="19"/>
      <c r="AN551" s="19"/>
    </row>
    <row r="552">
      <c r="A552" s="13"/>
      <c r="B552" s="41"/>
      <c r="D552" s="12"/>
      <c r="E552" s="14"/>
      <c r="F552" s="14"/>
      <c r="M552" s="14"/>
      <c r="AL552" s="19"/>
      <c r="AM552" s="19"/>
      <c r="AN552" s="19"/>
    </row>
    <row r="553">
      <c r="A553" s="13"/>
      <c r="B553" s="41"/>
      <c r="D553" s="12"/>
      <c r="E553" s="14"/>
      <c r="F553" s="14"/>
      <c r="M553" s="14"/>
      <c r="AL553" s="19"/>
      <c r="AM553" s="19"/>
      <c r="AN553" s="19"/>
    </row>
    <row r="554">
      <c r="A554" s="13"/>
      <c r="B554" s="41"/>
      <c r="D554" s="12"/>
      <c r="E554" s="14"/>
      <c r="F554" s="14"/>
      <c r="M554" s="14"/>
      <c r="AL554" s="19"/>
      <c r="AM554" s="19"/>
      <c r="AN554" s="19"/>
    </row>
    <row r="555">
      <c r="A555" s="13"/>
      <c r="B555" s="41"/>
      <c r="D555" s="12"/>
      <c r="E555" s="14"/>
      <c r="F555" s="14"/>
      <c r="M555" s="14"/>
      <c r="AL555" s="19"/>
      <c r="AM555" s="19"/>
      <c r="AN555" s="19"/>
    </row>
    <row r="556">
      <c r="A556" s="13"/>
      <c r="B556" s="41"/>
      <c r="D556" s="12"/>
      <c r="E556" s="14"/>
      <c r="F556" s="14"/>
      <c r="M556" s="14"/>
      <c r="AL556" s="19"/>
      <c r="AM556" s="19"/>
      <c r="AN556" s="19"/>
    </row>
    <row r="557">
      <c r="A557" s="13"/>
      <c r="B557" s="41"/>
      <c r="D557" s="12"/>
      <c r="E557" s="14"/>
      <c r="F557" s="14"/>
      <c r="M557" s="14"/>
      <c r="AL557" s="19"/>
      <c r="AM557" s="19"/>
      <c r="AN557" s="19"/>
    </row>
    <row r="558">
      <c r="A558" s="13"/>
      <c r="B558" s="41"/>
      <c r="D558" s="12"/>
      <c r="E558" s="14"/>
      <c r="F558" s="14"/>
      <c r="M558" s="14"/>
      <c r="AL558" s="19"/>
      <c r="AM558" s="19"/>
      <c r="AN558" s="19"/>
    </row>
    <row r="559">
      <c r="A559" s="13"/>
      <c r="B559" s="41"/>
      <c r="D559" s="12"/>
      <c r="E559" s="14"/>
      <c r="F559" s="14"/>
      <c r="M559" s="14"/>
      <c r="AL559" s="19"/>
      <c r="AM559" s="19"/>
      <c r="AN559" s="19"/>
    </row>
    <row r="560">
      <c r="A560" s="13"/>
      <c r="B560" s="41"/>
      <c r="D560" s="12"/>
      <c r="E560" s="14"/>
      <c r="F560" s="14"/>
      <c r="M560" s="14"/>
      <c r="AL560" s="19"/>
      <c r="AM560" s="19"/>
      <c r="AN560" s="19"/>
    </row>
    <row r="561">
      <c r="A561" s="13"/>
      <c r="B561" s="41"/>
      <c r="D561" s="12"/>
      <c r="E561" s="14"/>
      <c r="F561" s="14"/>
      <c r="M561" s="14"/>
      <c r="AL561" s="19"/>
      <c r="AM561" s="19"/>
      <c r="AN561" s="19"/>
    </row>
    <row r="562">
      <c r="A562" s="13"/>
      <c r="B562" s="41"/>
      <c r="D562" s="12"/>
      <c r="E562" s="14"/>
      <c r="F562" s="14"/>
      <c r="M562" s="14"/>
      <c r="AL562" s="19"/>
      <c r="AM562" s="19"/>
      <c r="AN562" s="19"/>
    </row>
    <row r="563">
      <c r="A563" s="13"/>
      <c r="B563" s="41"/>
      <c r="D563" s="12"/>
      <c r="E563" s="14"/>
      <c r="F563" s="14"/>
      <c r="M563" s="14"/>
      <c r="AL563" s="19"/>
      <c r="AM563" s="19"/>
      <c r="AN563" s="19"/>
    </row>
    <row r="564">
      <c r="A564" s="13"/>
      <c r="B564" s="41"/>
      <c r="D564" s="12"/>
      <c r="E564" s="14"/>
      <c r="F564" s="14"/>
      <c r="M564" s="14"/>
      <c r="AL564" s="19"/>
      <c r="AM564" s="19"/>
      <c r="AN564" s="19"/>
    </row>
    <row r="565">
      <c r="A565" s="13"/>
      <c r="B565" s="41"/>
      <c r="D565" s="12"/>
      <c r="E565" s="14"/>
      <c r="F565" s="14"/>
      <c r="M565" s="14"/>
      <c r="AL565" s="19"/>
      <c r="AM565" s="19"/>
      <c r="AN565" s="19"/>
    </row>
    <row r="566">
      <c r="A566" s="13"/>
      <c r="B566" s="41"/>
      <c r="D566" s="12"/>
      <c r="E566" s="14"/>
      <c r="F566" s="14"/>
      <c r="M566" s="14"/>
      <c r="AL566" s="19"/>
      <c r="AM566" s="19"/>
      <c r="AN566" s="19"/>
    </row>
    <row r="567">
      <c r="A567" s="13"/>
      <c r="B567" s="41"/>
      <c r="D567" s="12"/>
      <c r="E567" s="14"/>
      <c r="F567" s="14"/>
      <c r="M567" s="14"/>
      <c r="AL567" s="19"/>
      <c r="AM567" s="19"/>
      <c r="AN567" s="19"/>
    </row>
    <row r="568">
      <c r="A568" s="13"/>
      <c r="B568" s="41"/>
      <c r="D568" s="12"/>
      <c r="E568" s="14"/>
      <c r="F568" s="14"/>
      <c r="M568" s="14"/>
      <c r="AL568" s="19"/>
      <c r="AM568" s="19"/>
      <c r="AN568" s="19"/>
    </row>
    <row r="569">
      <c r="A569" s="13"/>
      <c r="B569" s="41"/>
      <c r="D569" s="12"/>
      <c r="E569" s="14"/>
      <c r="F569" s="14"/>
      <c r="M569" s="14"/>
      <c r="AL569" s="19"/>
      <c r="AM569" s="19"/>
      <c r="AN569" s="19"/>
    </row>
    <row r="570">
      <c r="A570" s="13"/>
      <c r="B570" s="41"/>
      <c r="D570" s="12"/>
      <c r="E570" s="14"/>
      <c r="F570" s="14"/>
      <c r="M570" s="14"/>
      <c r="AL570" s="19"/>
      <c r="AM570" s="19"/>
      <c r="AN570" s="19"/>
    </row>
    <row r="571">
      <c r="A571" s="13"/>
      <c r="B571" s="41"/>
      <c r="D571" s="12"/>
      <c r="E571" s="14"/>
      <c r="F571" s="14"/>
      <c r="M571" s="14"/>
      <c r="AL571" s="19"/>
      <c r="AM571" s="19"/>
      <c r="AN571" s="19"/>
    </row>
    <row r="572">
      <c r="A572" s="13"/>
      <c r="B572" s="41"/>
      <c r="D572" s="12"/>
      <c r="E572" s="14"/>
      <c r="F572" s="14"/>
      <c r="M572" s="14"/>
      <c r="AL572" s="19"/>
      <c r="AM572" s="19"/>
      <c r="AN572" s="19"/>
    </row>
    <row r="573">
      <c r="A573" s="13"/>
      <c r="B573" s="41"/>
      <c r="D573" s="12"/>
      <c r="E573" s="14"/>
      <c r="F573" s="14"/>
      <c r="M573" s="14"/>
      <c r="AL573" s="19"/>
      <c r="AM573" s="19"/>
      <c r="AN573" s="19"/>
    </row>
    <row r="574">
      <c r="A574" s="13"/>
      <c r="B574" s="41"/>
      <c r="D574" s="12"/>
      <c r="E574" s="14"/>
      <c r="F574" s="14"/>
      <c r="M574" s="14"/>
      <c r="AL574" s="19"/>
      <c r="AM574" s="19"/>
      <c r="AN574" s="19"/>
    </row>
    <row r="575">
      <c r="A575" s="13"/>
      <c r="B575" s="41"/>
      <c r="D575" s="12"/>
      <c r="E575" s="14"/>
      <c r="F575" s="14"/>
      <c r="M575" s="14"/>
      <c r="AL575" s="19"/>
      <c r="AM575" s="19"/>
      <c r="AN575" s="19"/>
    </row>
    <row r="576">
      <c r="A576" s="13"/>
      <c r="B576" s="41"/>
      <c r="D576" s="12"/>
      <c r="E576" s="14"/>
      <c r="F576" s="14"/>
      <c r="M576" s="14"/>
      <c r="AL576" s="19"/>
      <c r="AM576" s="19"/>
      <c r="AN576" s="19"/>
    </row>
    <row r="577">
      <c r="A577" s="13"/>
      <c r="B577" s="41"/>
      <c r="D577" s="12"/>
      <c r="E577" s="14"/>
      <c r="F577" s="14"/>
      <c r="M577" s="14"/>
      <c r="AL577" s="19"/>
      <c r="AM577" s="19"/>
      <c r="AN577" s="19"/>
    </row>
    <row r="578">
      <c r="A578" s="13"/>
      <c r="B578" s="41"/>
      <c r="D578" s="12"/>
      <c r="E578" s="14"/>
      <c r="F578" s="14"/>
      <c r="M578" s="14"/>
      <c r="AL578" s="19"/>
      <c r="AM578" s="19"/>
      <c r="AN578" s="19"/>
    </row>
    <row r="579">
      <c r="A579" s="13"/>
      <c r="B579" s="41"/>
      <c r="D579" s="12"/>
      <c r="E579" s="14"/>
      <c r="F579" s="14"/>
      <c r="M579" s="14"/>
      <c r="AL579" s="19"/>
      <c r="AM579" s="19"/>
      <c r="AN579" s="19"/>
    </row>
    <row r="580">
      <c r="A580" s="13"/>
      <c r="B580" s="41"/>
      <c r="D580" s="12"/>
      <c r="E580" s="14"/>
      <c r="F580" s="14"/>
      <c r="M580" s="14"/>
      <c r="AL580" s="19"/>
      <c r="AM580" s="19"/>
      <c r="AN580" s="19"/>
    </row>
    <row r="581">
      <c r="A581" s="13"/>
      <c r="B581" s="41"/>
      <c r="D581" s="12"/>
      <c r="E581" s="14"/>
      <c r="F581" s="14"/>
      <c r="M581" s="14"/>
      <c r="AL581" s="19"/>
      <c r="AM581" s="19"/>
      <c r="AN581" s="19"/>
    </row>
    <row r="582">
      <c r="A582" s="13"/>
      <c r="B582" s="41"/>
      <c r="D582" s="12"/>
      <c r="E582" s="14"/>
      <c r="F582" s="14"/>
      <c r="M582" s="14"/>
      <c r="AL582" s="19"/>
      <c r="AM582" s="19"/>
      <c r="AN582" s="19"/>
    </row>
    <row r="583">
      <c r="A583" s="13"/>
      <c r="B583" s="41"/>
      <c r="D583" s="12"/>
      <c r="E583" s="14"/>
      <c r="F583" s="14"/>
      <c r="M583" s="14"/>
      <c r="AL583" s="19"/>
      <c r="AM583" s="19"/>
      <c r="AN583" s="19"/>
    </row>
    <row r="584">
      <c r="A584" s="13"/>
      <c r="B584" s="41"/>
      <c r="D584" s="12"/>
      <c r="E584" s="14"/>
      <c r="F584" s="14"/>
      <c r="M584" s="14"/>
      <c r="AL584" s="19"/>
      <c r="AM584" s="19"/>
      <c r="AN584" s="19"/>
    </row>
    <row r="585">
      <c r="A585" s="13"/>
      <c r="B585" s="41"/>
      <c r="D585" s="12"/>
      <c r="E585" s="14"/>
      <c r="F585" s="14"/>
      <c r="M585" s="14"/>
      <c r="AL585" s="19"/>
      <c r="AM585" s="19"/>
      <c r="AN585" s="19"/>
    </row>
    <row r="586">
      <c r="A586" s="13"/>
      <c r="B586" s="41"/>
      <c r="D586" s="12"/>
      <c r="E586" s="14"/>
      <c r="F586" s="14"/>
      <c r="M586" s="14"/>
      <c r="AL586" s="19"/>
      <c r="AM586" s="19"/>
      <c r="AN586" s="19"/>
    </row>
    <row r="587">
      <c r="A587" s="13"/>
      <c r="B587" s="41"/>
      <c r="D587" s="12"/>
      <c r="E587" s="14"/>
      <c r="F587" s="14"/>
      <c r="M587" s="14"/>
      <c r="AL587" s="19"/>
      <c r="AM587" s="19"/>
      <c r="AN587" s="19"/>
    </row>
    <row r="588">
      <c r="A588" s="13"/>
      <c r="B588" s="41"/>
      <c r="D588" s="12"/>
      <c r="E588" s="14"/>
      <c r="F588" s="14"/>
      <c r="M588" s="14"/>
      <c r="AL588" s="19"/>
      <c r="AM588" s="19"/>
      <c r="AN588" s="19"/>
    </row>
    <row r="589">
      <c r="A589" s="13"/>
      <c r="B589" s="41"/>
      <c r="D589" s="12"/>
      <c r="E589" s="14"/>
      <c r="F589" s="14"/>
      <c r="M589" s="14"/>
      <c r="AL589" s="19"/>
      <c r="AM589" s="19"/>
      <c r="AN589" s="19"/>
    </row>
    <row r="590">
      <c r="A590" s="13"/>
      <c r="B590" s="41"/>
      <c r="D590" s="12"/>
      <c r="E590" s="14"/>
      <c r="F590" s="14"/>
      <c r="M590" s="14"/>
      <c r="AL590" s="19"/>
      <c r="AM590" s="19"/>
      <c r="AN590" s="19"/>
    </row>
    <row r="591">
      <c r="A591" s="13"/>
      <c r="B591" s="41"/>
      <c r="D591" s="12"/>
      <c r="E591" s="14"/>
      <c r="F591" s="14"/>
      <c r="M591" s="14"/>
      <c r="AL591" s="19"/>
      <c r="AM591" s="19"/>
      <c r="AN591" s="19"/>
    </row>
    <row r="592">
      <c r="A592" s="13"/>
      <c r="B592" s="41"/>
      <c r="D592" s="12"/>
      <c r="E592" s="14"/>
      <c r="F592" s="14"/>
      <c r="M592" s="14"/>
      <c r="AL592" s="19"/>
      <c r="AM592" s="19"/>
      <c r="AN592" s="19"/>
    </row>
    <row r="593">
      <c r="A593" s="13"/>
      <c r="B593" s="41"/>
      <c r="D593" s="12"/>
      <c r="E593" s="14"/>
      <c r="F593" s="14"/>
      <c r="M593" s="14"/>
      <c r="AL593" s="19"/>
      <c r="AM593" s="19"/>
      <c r="AN593" s="19"/>
    </row>
    <row r="594">
      <c r="A594" s="13"/>
      <c r="B594" s="41"/>
      <c r="D594" s="12"/>
      <c r="E594" s="14"/>
      <c r="F594" s="14"/>
      <c r="M594" s="14"/>
      <c r="AL594" s="19"/>
      <c r="AM594" s="19"/>
      <c r="AN594" s="19"/>
    </row>
    <row r="595">
      <c r="A595" s="13"/>
      <c r="B595" s="41"/>
      <c r="D595" s="12"/>
      <c r="E595" s="14"/>
      <c r="F595" s="14"/>
      <c r="M595" s="14"/>
      <c r="AL595" s="19"/>
      <c r="AM595" s="19"/>
      <c r="AN595" s="19"/>
    </row>
    <row r="596">
      <c r="A596" s="13"/>
      <c r="B596" s="41"/>
      <c r="D596" s="12"/>
      <c r="E596" s="14"/>
      <c r="F596" s="14"/>
      <c r="M596" s="14"/>
      <c r="AL596" s="19"/>
      <c r="AM596" s="19"/>
      <c r="AN596" s="19"/>
    </row>
    <row r="597">
      <c r="A597" s="13"/>
      <c r="B597" s="41"/>
      <c r="D597" s="12"/>
      <c r="E597" s="14"/>
      <c r="F597" s="14"/>
      <c r="M597" s="14"/>
      <c r="AL597" s="19"/>
      <c r="AM597" s="19"/>
      <c r="AN597" s="19"/>
    </row>
    <row r="598">
      <c r="A598" s="13"/>
      <c r="B598" s="41"/>
      <c r="D598" s="12"/>
      <c r="E598" s="14"/>
      <c r="F598" s="14"/>
      <c r="M598" s="14"/>
      <c r="AL598" s="19"/>
      <c r="AM598" s="19"/>
      <c r="AN598" s="19"/>
    </row>
    <row r="599">
      <c r="A599" s="13"/>
      <c r="B599" s="41"/>
      <c r="D599" s="12"/>
      <c r="E599" s="14"/>
      <c r="F599" s="14"/>
      <c r="M599" s="14"/>
      <c r="AL599" s="19"/>
      <c r="AM599" s="19"/>
      <c r="AN599" s="19"/>
    </row>
    <row r="600">
      <c r="A600" s="13"/>
      <c r="B600" s="41"/>
      <c r="D600" s="12"/>
      <c r="E600" s="14"/>
      <c r="F600" s="14"/>
      <c r="M600" s="14"/>
      <c r="AL600" s="19"/>
      <c r="AM600" s="19"/>
      <c r="AN600" s="19"/>
    </row>
    <row r="601">
      <c r="A601" s="13"/>
      <c r="B601" s="41"/>
      <c r="D601" s="12"/>
      <c r="E601" s="14"/>
      <c r="F601" s="14"/>
      <c r="M601" s="14"/>
      <c r="AL601" s="19"/>
      <c r="AM601" s="19"/>
      <c r="AN601" s="19"/>
    </row>
    <row r="602">
      <c r="A602" s="13"/>
      <c r="B602" s="41"/>
      <c r="D602" s="12"/>
      <c r="E602" s="14"/>
      <c r="F602" s="14"/>
      <c r="M602" s="14"/>
      <c r="AL602" s="19"/>
      <c r="AM602" s="19"/>
      <c r="AN602" s="19"/>
    </row>
    <row r="603">
      <c r="A603" s="13"/>
      <c r="B603" s="41"/>
      <c r="D603" s="12"/>
      <c r="E603" s="14"/>
      <c r="F603" s="14"/>
      <c r="M603" s="14"/>
      <c r="AL603" s="19"/>
      <c r="AM603" s="19"/>
      <c r="AN603" s="19"/>
    </row>
    <row r="604">
      <c r="A604" s="13"/>
      <c r="B604" s="41"/>
      <c r="D604" s="12"/>
      <c r="E604" s="14"/>
      <c r="F604" s="14"/>
      <c r="M604" s="14"/>
      <c r="AL604" s="19"/>
      <c r="AM604" s="19"/>
      <c r="AN604" s="19"/>
    </row>
    <row r="605">
      <c r="A605" s="13"/>
      <c r="B605" s="41"/>
      <c r="D605" s="12"/>
      <c r="E605" s="14"/>
      <c r="F605" s="14"/>
      <c r="M605" s="14"/>
      <c r="AL605" s="19"/>
      <c r="AM605" s="19"/>
      <c r="AN605" s="19"/>
    </row>
    <row r="606">
      <c r="A606" s="13"/>
      <c r="B606" s="41"/>
      <c r="D606" s="12"/>
      <c r="E606" s="14"/>
      <c r="F606" s="14"/>
      <c r="M606" s="14"/>
      <c r="AL606" s="19"/>
      <c r="AM606" s="19"/>
      <c r="AN606" s="19"/>
    </row>
    <row r="607">
      <c r="A607" s="13"/>
      <c r="B607" s="41"/>
      <c r="D607" s="12"/>
      <c r="E607" s="14"/>
      <c r="F607" s="14"/>
      <c r="M607" s="14"/>
      <c r="AL607" s="19"/>
      <c r="AM607" s="19"/>
      <c r="AN607" s="19"/>
    </row>
    <row r="608">
      <c r="A608" s="13"/>
      <c r="B608" s="41"/>
      <c r="D608" s="12"/>
      <c r="E608" s="14"/>
      <c r="F608" s="14"/>
      <c r="M608" s="14"/>
      <c r="AL608" s="19"/>
      <c r="AM608" s="19"/>
      <c r="AN608" s="19"/>
    </row>
    <row r="609">
      <c r="A609" s="13"/>
      <c r="B609" s="41"/>
      <c r="D609" s="12"/>
      <c r="E609" s="14"/>
      <c r="F609" s="14"/>
      <c r="M609" s="14"/>
      <c r="AL609" s="19"/>
      <c r="AM609" s="19"/>
      <c r="AN609" s="19"/>
    </row>
    <row r="610">
      <c r="A610" s="13"/>
      <c r="B610" s="41"/>
      <c r="D610" s="12"/>
      <c r="E610" s="14"/>
      <c r="F610" s="14"/>
      <c r="M610" s="14"/>
      <c r="AL610" s="19"/>
      <c r="AM610" s="19"/>
      <c r="AN610" s="19"/>
    </row>
    <row r="611">
      <c r="A611" s="13"/>
      <c r="B611" s="41"/>
      <c r="D611" s="12"/>
      <c r="E611" s="14"/>
      <c r="F611" s="14"/>
      <c r="M611" s="14"/>
      <c r="AL611" s="19"/>
      <c r="AM611" s="19"/>
      <c r="AN611" s="19"/>
    </row>
    <row r="612">
      <c r="A612" s="13"/>
      <c r="B612" s="41"/>
      <c r="D612" s="12"/>
      <c r="E612" s="14"/>
      <c r="F612" s="14"/>
      <c r="M612" s="14"/>
      <c r="AL612" s="19"/>
      <c r="AM612" s="19"/>
      <c r="AN612" s="19"/>
    </row>
    <row r="613">
      <c r="A613" s="13"/>
      <c r="B613" s="41"/>
      <c r="D613" s="12"/>
      <c r="E613" s="14"/>
      <c r="F613" s="14"/>
      <c r="M613" s="14"/>
      <c r="AL613" s="19"/>
      <c r="AM613" s="19"/>
      <c r="AN613" s="19"/>
    </row>
    <row r="614">
      <c r="A614" s="13"/>
      <c r="B614" s="41"/>
      <c r="D614" s="12"/>
      <c r="E614" s="14"/>
      <c r="F614" s="14"/>
      <c r="M614" s="14"/>
      <c r="AL614" s="19"/>
      <c r="AM614" s="19"/>
      <c r="AN614" s="19"/>
    </row>
    <row r="615">
      <c r="A615" s="13"/>
      <c r="B615" s="41"/>
      <c r="D615" s="12"/>
      <c r="E615" s="14"/>
      <c r="F615" s="14"/>
      <c r="M615" s="14"/>
      <c r="AL615" s="19"/>
      <c r="AM615" s="19"/>
      <c r="AN615" s="19"/>
    </row>
    <row r="616">
      <c r="A616" s="13"/>
      <c r="B616" s="41"/>
      <c r="D616" s="12"/>
      <c r="E616" s="14"/>
      <c r="F616" s="14"/>
      <c r="M616" s="14"/>
      <c r="AL616" s="19"/>
      <c r="AM616" s="19"/>
      <c r="AN616" s="19"/>
    </row>
    <row r="617">
      <c r="A617" s="13"/>
      <c r="B617" s="41"/>
      <c r="D617" s="12"/>
      <c r="E617" s="14"/>
      <c r="F617" s="14"/>
      <c r="M617" s="14"/>
      <c r="AL617" s="19"/>
      <c r="AM617" s="19"/>
      <c r="AN617" s="19"/>
    </row>
    <row r="618">
      <c r="A618" s="13"/>
      <c r="B618" s="41"/>
      <c r="D618" s="12"/>
      <c r="E618" s="14"/>
      <c r="F618" s="14"/>
      <c r="M618" s="14"/>
      <c r="AL618" s="19"/>
      <c r="AM618" s="19"/>
      <c r="AN618" s="19"/>
    </row>
    <row r="619">
      <c r="A619" s="13"/>
      <c r="B619" s="41"/>
      <c r="D619" s="12"/>
      <c r="E619" s="14"/>
      <c r="F619" s="14"/>
      <c r="M619" s="14"/>
      <c r="AL619" s="19"/>
      <c r="AM619" s="19"/>
      <c r="AN619" s="19"/>
    </row>
    <row r="620">
      <c r="A620" s="13"/>
      <c r="B620" s="41"/>
      <c r="D620" s="12"/>
      <c r="E620" s="14"/>
      <c r="F620" s="14"/>
      <c r="M620" s="14"/>
      <c r="AL620" s="19"/>
      <c r="AM620" s="19"/>
      <c r="AN620" s="19"/>
    </row>
    <row r="621">
      <c r="A621" s="13"/>
      <c r="B621" s="41"/>
      <c r="D621" s="12"/>
      <c r="E621" s="14"/>
      <c r="F621" s="14"/>
      <c r="M621" s="14"/>
      <c r="AL621" s="19"/>
      <c r="AM621" s="19"/>
      <c r="AN621" s="19"/>
    </row>
    <row r="622">
      <c r="A622" s="13"/>
      <c r="B622" s="41"/>
      <c r="D622" s="12"/>
      <c r="E622" s="14"/>
      <c r="F622" s="14"/>
      <c r="M622" s="14"/>
      <c r="AL622" s="19"/>
      <c r="AM622" s="19"/>
      <c r="AN622" s="19"/>
    </row>
    <row r="623">
      <c r="A623" s="13"/>
      <c r="B623" s="41"/>
      <c r="D623" s="12"/>
      <c r="E623" s="14"/>
      <c r="F623" s="14"/>
      <c r="M623" s="14"/>
      <c r="AL623" s="19"/>
      <c r="AM623" s="19"/>
      <c r="AN623" s="19"/>
    </row>
    <row r="624">
      <c r="A624" s="13"/>
      <c r="B624" s="41"/>
      <c r="D624" s="12"/>
      <c r="E624" s="14"/>
      <c r="F624" s="14"/>
      <c r="M624" s="14"/>
      <c r="AL624" s="19"/>
      <c r="AM624" s="19"/>
      <c r="AN624" s="19"/>
    </row>
    <row r="625">
      <c r="A625" s="13"/>
      <c r="B625" s="41"/>
      <c r="D625" s="12"/>
      <c r="E625" s="14"/>
      <c r="F625" s="14"/>
      <c r="M625" s="14"/>
      <c r="AL625" s="19"/>
      <c r="AM625" s="19"/>
      <c r="AN625" s="19"/>
    </row>
    <row r="626">
      <c r="A626" s="13"/>
      <c r="B626" s="41"/>
      <c r="D626" s="12"/>
      <c r="E626" s="14"/>
      <c r="F626" s="14"/>
      <c r="M626" s="14"/>
      <c r="AL626" s="19"/>
      <c r="AM626" s="19"/>
      <c r="AN626" s="19"/>
    </row>
    <row r="627">
      <c r="A627" s="13"/>
      <c r="B627" s="41"/>
      <c r="D627" s="12"/>
      <c r="E627" s="14"/>
      <c r="F627" s="14"/>
      <c r="M627" s="14"/>
      <c r="AL627" s="19"/>
      <c r="AM627" s="19"/>
      <c r="AN627" s="19"/>
    </row>
    <row r="628">
      <c r="A628" s="13"/>
      <c r="B628" s="41"/>
      <c r="D628" s="12"/>
      <c r="E628" s="14"/>
      <c r="F628" s="14"/>
      <c r="M628" s="14"/>
      <c r="AL628" s="19"/>
      <c r="AM628" s="19"/>
      <c r="AN628" s="19"/>
    </row>
    <row r="629">
      <c r="A629" s="13"/>
      <c r="B629" s="41"/>
      <c r="D629" s="12"/>
      <c r="E629" s="14"/>
      <c r="F629" s="14"/>
      <c r="M629" s="14"/>
      <c r="AL629" s="19"/>
      <c r="AM629" s="19"/>
      <c r="AN629" s="19"/>
    </row>
    <row r="630">
      <c r="A630" s="13"/>
      <c r="B630" s="41"/>
      <c r="D630" s="12"/>
      <c r="E630" s="14"/>
      <c r="F630" s="14"/>
      <c r="M630" s="14"/>
      <c r="AL630" s="19"/>
      <c r="AM630" s="19"/>
      <c r="AN630" s="19"/>
    </row>
    <row r="631">
      <c r="A631" s="13"/>
      <c r="B631" s="41"/>
      <c r="D631" s="12"/>
      <c r="E631" s="14"/>
      <c r="F631" s="14"/>
      <c r="M631" s="14"/>
      <c r="AL631" s="19"/>
      <c r="AM631" s="19"/>
      <c r="AN631" s="19"/>
    </row>
    <row r="632">
      <c r="A632" s="13"/>
      <c r="B632" s="41"/>
      <c r="D632" s="12"/>
      <c r="E632" s="14"/>
      <c r="F632" s="14"/>
      <c r="M632" s="14"/>
      <c r="AL632" s="19"/>
      <c r="AM632" s="19"/>
      <c r="AN632" s="19"/>
    </row>
    <row r="633">
      <c r="A633" s="13"/>
      <c r="B633" s="41"/>
      <c r="D633" s="12"/>
      <c r="E633" s="14"/>
      <c r="F633" s="14"/>
      <c r="M633" s="14"/>
      <c r="AL633" s="19"/>
      <c r="AM633" s="19"/>
      <c r="AN633" s="19"/>
    </row>
    <row r="634">
      <c r="A634" s="13"/>
      <c r="B634" s="41"/>
      <c r="D634" s="12"/>
      <c r="E634" s="14"/>
      <c r="F634" s="14"/>
      <c r="M634" s="14"/>
      <c r="AL634" s="19"/>
      <c r="AM634" s="19"/>
      <c r="AN634" s="19"/>
    </row>
    <row r="635">
      <c r="A635" s="13"/>
      <c r="B635" s="41"/>
      <c r="D635" s="12"/>
      <c r="E635" s="14"/>
      <c r="F635" s="14"/>
      <c r="M635" s="14"/>
      <c r="AL635" s="19"/>
      <c r="AM635" s="19"/>
      <c r="AN635" s="19"/>
    </row>
    <row r="636">
      <c r="A636" s="13"/>
      <c r="B636" s="41"/>
      <c r="D636" s="12"/>
      <c r="E636" s="14"/>
      <c r="F636" s="14"/>
      <c r="M636" s="14"/>
      <c r="AL636" s="19"/>
      <c r="AM636" s="19"/>
      <c r="AN636" s="19"/>
    </row>
    <row r="637">
      <c r="A637" s="13"/>
      <c r="B637" s="41"/>
      <c r="D637" s="12"/>
      <c r="E637" s="14"/>
      <c r="F637" s="14"/>
      <c r="M637" s="14"/>
      <c r="AL637" s="19"/>
      <c r="AM637" s="19"/>
      <c r="AN637" s="19"/>
    </row>
    <row r="638">
      <c r="A638" s="13"/>
      <c r="B638" s="41"/>
      <c r="D638" s="12"/>
      <c r="E638" s="14"/>
      <c r="F638" s="14"/>
      <c r="M638" s="14"/>
      <c r="AL638" s="19"/>
      <c r="AM638" s="19"/>
      <c r="AN638" s="19"/>
    </row>
    <row r="639">
      <c r="A639" s="13"/>
      <c r="B639" s="41"/>
      <c r="D639" s="12"/>
      <c r="E639" s="14"/>
      <c r="F639" s="14"/>
      <c r="M639" s="14"/>
      <c r="AL639" s="19"/>
      <c r="AM639" s="19"/>
      <c r="AN639" s="19"/>
    </row>
    <row r="640">
      <c r="A640" s="13"/>
      <c r="B640" s="41"/>
      <c r="D640" s="12"/>
      <c r="E640" s="14"/>
      <c r="F640" s="14"/>
      <c r="M640" s="14"/>
      <c r="AL640" s="19"/>
      <c r="AM640" s="19"/>
      <c r="AN640" s="19"/>
    </row>
    <row r="641">
      <c r="A641" s="13"/>
      <c r="B641" s="41"/>
      <c r="D641" s="12"/>
      <c r="E641" s="14"/>
      <c r="F641" s="14"/>
      <c r="M641" s="14"/>
      <c r="AL641" s="19"/>
      <c r="AM641" s="19"/>
      <c r="AN641" s="19"/>
    </row>
    <row r="642">
      <c r="A642" s="13"/>
      <c r="B642" s="41"/>
      <c r="D642" s="12"/>
      <c r="E642" s="14"/>
      <c r="F642" s="14"/>
      <c r="M642" s="14"/>
      <c r="AL642" s="19"/>
      <c r="AM642" s="19"/>
      <c r="AN642" s="19"/>
    </row>
    <row r="643">
      <c r="A643" s="13"/>
      <c r="B643" s="41"/>
      <c r="D643" s="12"/>
      <c r="E643" s="14"/>
      <c r="F643" s="14"/>
      <c r="M643" s="14"/>
      <c r="AL643" s="19"/>
      <c r="AM643" s="19"/>
      <c r="AN643" s="19"/>
    </row>
    <row r="644">
      <c r="A644" s="13"/>
      <c r="B644" s="41"/>
      <c r="D644" s="12"/>
      <c r="E644" s="14"/>
      <c r="F644" s="14"/>
      <c r="M644" s="14"/>
      <c r="AL644" s="19"/>
      <c r="AM644" s="19"/>
      <c r="AN644" s="19"/>
    </row>
    <row r="645">
      <c r="A645" s="13"/>
      <c r="B645" s="41"/>
      <c r="D645" s="12"/>
      <c r="E645" s="14"/>
      <c r="F645" s="14"/>
      <c r="M645" s="14"/>
      <c r="AL645" s="19"/>
      <c r="AM645" s="19"/>
      <c r="AN645" s="19"/>
    </row>
    <row r="646">
      <c r="A646" s="13"/>
      <c r="B646" s="41"/>
      <c r="D646" s="12"/>
      <c r="E646" s="14"/>
      <c r="F646" s="14"/>
      <c r="M646" s="14"/>
      <c r="AL646" s="19"/>
      <c r="AM646" s="19"/>
      <c r="AN646" s="19"/>
    </row>
    <row r="647">
      <c r="A647" s="13"/>
      <c r="B647" s="41"/>
      <c r="D647" s="12"/>
      <c r="E647" s="14"/>
      <c r="F647" s="14"/>
      <c r="M647" s="14"/>
      <c r="AL647" s="19"/>
      <c r="AM647" s="19"/>
      <c r="AN647" s="19"/>
    </row>
    <row r="648">
      <c r="A648" s="13"/>
      <c r="B648" s="41"/>
      <c r="D648" s="12"/>
      <c r="E648" s="14"/>
      <c r="F648" s="14"/>
      <c r="M648" s="14"/>
      <c r="AL648" s="19"/>
      <c r="AM648" s="19"/>
      <c r="AN648" s="19"/>
    </row>
    <row r="649">
      <c r="A649" s="13"/>
      <c r="B649" s="41"/>
      <c r="D649" s="12"/>
      <c r="E649" s="14"/>
      <c r="F649" s="14"/>
      <c r="M649" s="14"/>
      <c r="AL649" s="19"/>
      <c r="AM649" s="19"/>
      <c r="AN649" s="19"/>
    </row>
    <row r="650">
      <c r="A650" s="13"/>
      <c r="B650" s="41"/>
      <c r="D650" s="12"/>
      <c r="E650" s="14"/>
      <c r="F650" s="14"/>
      <c r="M650" s="14"/>
      <c r="AL650" s="19"/>
      <c r="AM650" s="19"/>
      <c r="AN650" s="19"/>
    </row>
    <row r="651">
      <c r="A651" s="13"/>
      <c r="B651" s="41"/>
      <c r="D651" s="12"/>
      <c r="E651" s="14"/>
      <c r="F651" s="14"/>
      <c r="M651" s="14"/>
      <c r="AL651" s="19"/>
      <c r="AM651" s="19"/>
      <c r="AN651" s="19"/>
    </row>
    <row r="652">
      <c r="A652" s="13"/>
      <c r="B652" s="41"/>
      <c r="D652" s="12"/>
      <c r="E652" s="14"/>
      <c r="F652" s="14"/>
      <c r="M652" s="14"/>
      <c r="AL652" s="19"/>
      <c r="AM652" s="19"/>
      <c r="AN652" s="19"/>
    </row>
    <row r="653">
      <c r="A653" s="13"/>
      <c r="B653" s="41"/>
      <c r="D653" s="12"/>
      <c r="E653" s="14"/>
      <c r="F653" s="14"/>
      <c r="M653" s="14"/>
      <c r="AL653" s="19"/>
      <c r="AM653" s="19"/>
      <c r="AN653" s="19"/>
    </row>
    <row r="654">
      <c r="A654" s="13"/>
      <c r="B654" s="41"/>
      <c r="D654" s="12"/>
      <c r="E654" s="14"/>
      <c r="F654" s="14"/>
      <c r="M654" s="14"/>
      <c r="AL654" s="19"/>
      <c r="AM654" s="19"/>
      <c r="AN654" s="19"/>
    </row>
    <row r="655">
      <c r="A655" s="13"/>
      <c r="B655" s="41"/>
      <c r="D655" s="12"/>
      <c r="E655" s="14"/>
      <c r="F655" s="14"/>
      <c r="M655" s="14"/>
      <c r="AL655" s="19"/>
      <c r="AM655" s="19"/>
      <c r="AN655" s="19"/>
    </row>
    <row r="656">
      <c r="A656" s="13"/>
      <c r="B656" s="41"/>
      <c r="D656" s="12"/>
      <c r="E656" s="14"/>
      <c r="F656" s="14"/>
      <c r="M656" s="14"/>
      <c r="AL656" s="19"/>
      <c r="AM656" s="19"/>
      <c r="AN656" s="19"/>
    </row>
    <row r="657">
      <c r="A657" s="13"/>
      <c r="B657" s="41"/>
      <c r="D657" s="12"/>
      <c r="E657" s="14"/>
      <c r="F657" s="14"/>
      <c r="M657" s="14"/>
      <c r="AL657" s="19"/>
      <c r="AM657" s="19"/>
      <c r="AN657" s="19"/>
    </row>
    <row r="658">
      <c r="A658" s="13"/>
      <c r="B658" s="41"/>
      <c r="D658" s="12"/>
      <c r="E658" s="14"/>
      <c r="F658" s="14"/>
      <c r="M658" s="14"/>
      <c r="AL658" s="19"/>
      <c r="AM658" s="19"/>
      <c r="AN658" s="19"/>
    </row>
    <row r="659">
      <c r="A659" s="13"/>
      <c r="B659" s="41"/>
      <c r="D659" s="12"/>
      <c r="E659" s="14"/>
      <c r="F659" s="14"/>
      <c r="M659" s="14"/>
      <c r="AL659" s="19"/>
      <c r="AM659" s="19"/>
      <c r="AN659" s="19"/>
    </row>
    <row r="660">
      <c r="A660" s="13"/>
      <c r="B660" s="41"/>
      <c r="D660" s="12"/>
      <c r="E660" s="14"/>
      <c r="F660" s="14"/>
      <c r="M660" s="14"/>
      <c r="AL660" s="19"/>
      <c r="AM660" s="19"/>
      <c r="AN660" s="19"/>
    </row>
    <row r="661">
      <c r="A661" s="13"/>
      <c r="B661" s="41"/>
      <c r="D661" s="12"/>
      <c r="E661" s="14"/>
      <c r="F661" s="14"/>
      <c r="M661" s="14"/>
      <c r="AL661" s="19"/>
      <c r="AM661" s="19"/>
      <c r="AN661" s="19"/>
    </row>
    <row r="662">
      <c r="A662" s="13"/>
      <c r="B662" s="41"/>
      <c r="D662" s="12"/>
      <c r="E662" s="14"/>
      <c r="F662" s="14"/>
      <c r="M662" s="14"/>
      <c r="AL662" s="19"/>
      <c r="AM662" s="19"/>
      <c r="AN662" s="19"/>
    </row>
    <row r="663">
      <c r="A663" s="13"/>
      <c r="B663" s="41"/>
      <c r="D663" s="12"/>
      <c r="E663" s="14"/>
      <c r="F663" s="14"/>
      <c r="M663" s="14"/>
      <c r="AL663" s="19"/>
      <c r="AM663" s="19"/>
      <c r="AN663" s="19"/>
    </row>
    <row r="664">
      <c r="A664" s="13"/>
      <c r="B664" s="41"/>
      <c r="D664" s="12"/>
      <c r="E664" s="14"/>
      <c r="F664" s="14"/>
      <c r="M664" s="14"/>
      <c r="AL664" s="19"/>
      <c r="AM664" s="19"/>
      <c r="AN664" s="19"/>
    </row>
    <row r="665">
      <c r="A665" s="13"/>
      <c r="B665" s="41"/>
      <c r="D665" s="12"/>
      <c r="E665" s="14"/>
      <c r="F665" s="14"/>
      <c r="M665" s="14"/>
      <c r="AL665" s="19"/>
      <c r="AM665" s="19"/>
      <c r="AN665" s="19"/>
    </row>
    <row r="666">
      <c r="A666" s="13"/>
      <c r="B666" s="41"/>
      <c r="D666" s="12"/>
      <c r="E666" s="14"/>
      <c r="F666" s="14"/>
      <c r="M666" s="14"/>
      <c r="AL666" s="19"/>
      <c r="AM666" s="19"/>
      <c r="AN666" s="19"/>
    </row>
    <row r="667">
      <c r="A667" s="13"/>
      <c r="B667" s="41"/>
      <c r="D667" s="12"/>
      <c r="E667" s="14"/>
      <c r="F667" s="14"/>
      <c r="M667" s="14"/>
      <c r="AL667" s="19"/>
      <c r="AM667" s="19"/>
      <c r="AN667" s="19"/>
    </row>
    <row r="668">
      <c r="A668" s="13"/>
      <c r="B668" s="41"/>
      <c r="D668" s="12"/>
      <c r="E668" s="14"/>
      <c r="F668" s="14"/>
      <c r="M668" s="14"/>
      <c r="AL668" s="19"/>
      <c r="AM668" s="19"/>
      <c r="AN668" s="19"/>
    </row>
    <row r="669">
      <c r="A669" s="13"/>
      <c r="B669" s="41"/>
      <c r="D669" s="12"/>
      <c r="E669" s="14"/>
      <c r="F669" s="14"/>
      <c r="M669" s="14"/>
      <c r="AL669" s="19"/>
      <c r="AM669" s="19"/>
      <c r="AN669" s="19"/>
    </row>
    <row r="670">
      <c r="A670" s="13"/>
      <c r="B670" s="41"/>
      <c r="D670" s="12"/>
      <c r="E670" s="14"/>
      <c r="F670" s="14"/>
      <c r="M670" s="14"/>
      <c r="AL670" s="19"/>
      <c r="AM670" s="19"/>
      <c r="AN670" s="19"/>
    </row>
    <row r="671">
      <c r="A671" s="13"/>
      <c r="B671" s="41"/>
      <c r="D671" s="12"/>
      <c r="E671" s="14"/>
      <c r="F671" s="14"/>
      <c r="M671" s="14"/>
      <c r="AL671" s="19"/>
      <c r="AM671" s="19"/>
      <c r="AN671" s="19"/>
    </row>
    <row r="672">
      <c r="A672" s="13"/>
      <c r="B672" s="41"/>
      <c r="D672" s="12"/>
      <c r="E672" s="14"/>
      <c r="F672" s="14"/>
      <c r="M672" s="14"/>
      <c r="AL672" s="19"/>
      <c r="AM672" s="19"/>
      <c r="AN672" s="19"/>
    </row>
    <row r="673">
      <c r="A673" s="13"/>
      <c r="B673" s="41"/>
      <c r="D673" s="12"/>
      <c r="E673" s="14"/>
      <c r="F673" s="14"/>
      <c r="M673" s="14"/>
      <c r="AL673" s="19"/>
      <c r="AM673" s="19"/>
      <c r="AN673" s="19"/>
    </row>
    <row r="674">
      <c r="A674" s="13"/>
      <c r="B674" s="41"/>
      <c r="D674" s="12"/>
      <c r="E674" s="14"/>
      <c r="F674" s="14"/>
      <c r="M674" s="14"/>
      <c r="AL674" s="19"/>
      <c r="AM674" s="19"/>
      <c r="AN674" s="19"/>
    </row>
    <row r="675">
      <c r="A675" s="13"/>
      <c r="B675" s="41"/>
      <c r="D675" s="12"/>
      <c r="E675" s="14"/>
      <c r="F675" s="14"/>
      <c r="M675" s="14"/>
      <c r="AL675" s="19"/>
      <c r="AM675" s="19"/>
      <c r="AN675" s="19"/>
    </row>
    <row r="676">
      <c r="A676" s="13"/>
      <c r="B676" s="41"/>
      <c r="D676" s="12"/>
      <c r="E676" s="14"/>
      <c r="F676" s="14"/>
      <c r="M676" s="14"/>
      <c r="AL676" s="19"/>
      <c r="AM676" s="19"/>
      <c r="AN676" s="19"/>
    </row>
    <row r="677">
      <c r="A677" s="13"/>
      <c r="B677" s="41"/>
      <c r="D677" s="12"/>
      <c r="E677" s="14"/>
      <c r="F677" s="14"/>
      <c r="M677" s="14"/>
      <c r="AL677" s="19"/>
      <c r="AM677" s="19"/>
      <c r="AN677" s="19"/>
    </row>
    <row r="678">
      <c r="A678" s="13"/>
      <c r="B678" s="41"/>
      <c r="D678" s="12"/>
      <c r="E678" s="14"/>
      <c r="F678" s="14"/>
      <c r="M678" s="14"/>
      <c r="AL678" s="19"/>
      <c r="AM678" s="19"/>
      <c r="AN678" s="19"/>
    </row>
    <row r="679">
      <c r="A679" s="13"/>
      <c r="B679" s="41"/>
      <c r="D679" s="12"/>
      <c r="E679" s="14"/>
      <c r="F679" s="14"/>
      <c r="M679" s="14"/>
      <c r="AL679" s="19"/>
      <c r="AM679" s="19"/>
      <c r="AN679" s="19"/>
    </row>
    <row r="680">
      <c r="A680" s="13"/>
      <c r="B680" s="41"/>
      <c r="D680" s="12"/>
      <c r="E680" s="14"/>
      <c r="F680" s="14"/>
      <c r="M680" s="14"/>
      <c r="AL680" s="19"/>
      <c r="AM680" s="19"/>
      <c r="AN680" s="19"/>
    </row>
    <row r="681">
      <c r="A681" s="13"/>
      <c r="B681" s="41"/>
      <c r="D681" s="12"/>
      <c r="E681" s="14"/>
      <c r="F681" s="14"/>
      <c r="M681" s="14"/>
      <c r="AL681" s="19"/>
      <c r="AM681" s="19"/>
      <c r="AN681" s="19"/>
    </row>
    <row r="682">
      <c r="A682" s="13"/>
      <c r="B682" s="41"/>
      <c r="D682" s="12"/>
      <c r="E682" s="14"/>
      <c r="F682" s="14"/>
      <c r="M682" s="14"/>
      <c r="AL682" s="19"/>
      <c r="AM682" s="19"/>
      <c r="AN682" s="19"/>
    </row>
    <row r="683">
      <c r="A683" s="13"/>
      <c r="B683" s="41"/>
      <c r="D683" s="12"/>
      <c r="E683" s="14"/>
      <c r="F683" s="14"/>
      <c r="M683" s="14"/>
      <c r="AL683" s="19"/>
      <c r="AM683" s="19"/>
      <c r="AN683" s="19"/>
    </row>
    <row r="684">
      <c r="A684" s="13"/>
      <c r="B684" s="41"/>
      <c r="D684" s="12"/>
      <c r="E684" s="14"/>
      <c r="F684" s="14"/>
      <c r="M684" s="14"/>
      <c r="AL684" s="19"/>
      <c r="AM684" s="19"/>
      <c r="AN684" s="19"/>
    </row>
    <row r="685">
      <c r="A685" s="13"/>
      <c r="B685" s="41"/>
      <c r="D685" s="12"/>
      <c r="E685" s="14"/>
      <c r="F685" s="14"/>
      <c r="M685" s="14"/>
      <c r="AL685" s="19"/>
      <c r="AM685" s="19"/>
      <c r="AN685" s="19"/>
    </row>
    <row r="686">
      <c r="A686" s="13"/>
      <c r="B686" s="41"/>
      <c r="D686" s="12"/>
      <c r="E686" s="14"/>
      <c r="F686" s="14"/>
      <c r="M686" s="14"/>
      <c r="AL686" s="19"/>
      <c r="AM686" s="19"/>
      <c r="AN686" s="19"/>
    </row>
    <row r="687">
      <c r="A687" s="13"/>
      <c r="B687" s="41"/>
      <c r="D687" s="12"/>
      <c r="E687" s="14"/>
      <c r="F687" s="14"/>
      <c r="M687" s="14"/>
      <c r="AL687" s="19"/>
      <c r="AM687" s="19"/>
      <c r="AN687" s="19"/>
    </row>
    <row r="688">
      <c r="A688" s="13"/>
      <c r="B688" s="41"/>
      <c r="D688" s="12"/>
      <c r="E688" s="14"/>
      <c r="F688" s="14"/>
      <c r="M688" s="14"/>
      <c r="AL688" s="19"/>
      <c r="AM688" s="19"/>
      <c r="AN688" s="19"/>
    </row>
    <row r="689">
      <c r="A689" s="13"/>
      <c r="B689" s="41"/>
      <c r="D689" s="12"/>
      <c r="E689" s="14"/>
      <c r="F689" s="14"/>
      <c r="M689" s="14"/>
      <c r="AL689" s="19"/>
      <c r="AM689" s="19"/>
      <c r="AN689" s="19"/>
    </row>
    <row r="690">
      <c r="A690" s="13"/>
      <c r="B690" s="41"/>
      <c r="D690" s="12"/>
      <c r="E690" s="14"/>
      <c r="F690" s="14"/>
      <c r="M690" s="14"/>
      <c r="AL690" s="19"/>
      <c r="AM690" s="19"/>
      <c r="AN690" s="19"/>
    </row>
    <row r="691">
      <c r="A691" s="13"/>
      <c r="B691" s="41"/>
      <c r="D691" s="12"/>
      <c r="E691" s="14"/>
      <c r="F691" s="14"/>
      <c r="M691" s="14"/>
      <c r="AL691" s="19"/>
      <c r="AM691" s="19"/>
      <c r="AN691" s="19"/>
    </row>
    <row r="692">
      <c r="A692" s="13"/>
      <c r="B692" s="41"/>
      <c r="D692" s="12"/>
      <c r="E692" s="14"/>
      <c r="F692" s="14"/>
      <c r="M692" s="14"/>
      <c r="AL692" s="19"/>
      <c r="AM692" s="19"/>
      <c r="AN692" s="19"/>
    </row>
    <row r="693">
      <c r="A693" s="13"/>
      <c r="B693" s="41"/>
      <c r="D693" s="12"/>
      <c r="E693" s="14"/>
      <c r="F693" s="14"/>
      <c r="M693" s="14"/>
      <c r="AL693" s="19"/>
      <c r="AM693" s="19"/>
      <c r="AN693" s="19"/>
    </row>
    <row r="694">
      <c r="A694" s="13"/>
      <c r="B694" s="41"/>
      <c r="D694" s="12"/>
      <c r="E694" s="14"/>
      <c r="F694" s="14"/>
      <c r="M694" s="14"/>
      <c r="AL694" s="19"/>
      <c r="AM694" s="19"/>
      <c r="AN694" s="19"/>
    </row>
    <row r="695">
      <c r="A695" s="13"/>
      <c r="B695" s="41"/>
      <c r="D695" s="12"/>
      <c r="E695" s="14"/>
      <c r="F695" s="14"/>
      <c r="M695" s="14"/>
      <c r="AL695" s="19"/>
      <c r="AM695" s="19"/>
      <c r="AN695" s="19"/>
    </row>
    <row r="696">
      <c r="A696" s="13"/>
      <c r="B696" s="41"/>
      <c r="D696" s="12"/>
      <c r="E696" s="14"/>
      <c r="F696" s="14"/>
      <c r="M696" s="14"/>
      <c r="AL696" s="19"/>
      <c r="AM696" s="19"/>
      <c r="AN696" s="19"/>
    </row>
    <row r="697">
      <c r="A697" s="13"/>
      <c r="B697" s="41"/>
      <c r="D697" s="12"/>
      <c r="E697" s="14"/>
      <c r="F697" s="14"/>
      <c r="M697" s="14"/>
      <c r="AL697" s="19"/>
      <c r="AM697" s="19"/>
      <c r="AN697" s="19"/>
    </row>
    <row r="698">
      <c r="A698" s="13"/>
      <c r="B698" s="41"/>
      <c r="D698" s="12"/>
      <c r="E698" s="14"/>
      <c r="F698" s="14"/>
      <c r="M698" s="14"/>
      <c r="AL698" s="19"/>
      <c r="AM698" s="19"/>
      <c r="AN698" s="19"/>
    </row>
    <row r="699">
      <c r="A699" s="13"/>
      <c r="B699" s="41"/>
      <c r="D699" s="12"/>
      <c r="E699" s="14"/>
      <c r="F699" s="14"/>
      <c r="M699" s="14"/>
      <c r="AL699" s="19"/>
      <c r="AM699" s="19"/>
      <c r="AN699" s="19"/>
    </row>
    <row r="700">
      <c r="A700" s="13"/>
      <c r="B700" s="41"/>
      <c r="D700" s="12"/>
      <c r="E700" s="14"/>
      <c r="F700" s="14"/>
      <c r="M700" s="14"/>
      <c r="AL700" s="19"/>
      <c r="AM700" s="19"/>
      <c r="AN700" s="19"/>
    </row>
    <row r="701">
      <c r="A701" s="13"/>
      <c r="B701" s="41"/>
      <c r="D701" s="12"/>
      <c r="E701" s="14"/>
      <c r="F701" s="14"/>
      <c r="M701" s="14"/>
      <c r="AL701" s="19"/>
      <c r="AM701" s="19"/>
      <c r="AN701" s="19"/>
    </row>
    <row r="702">
      <c r="A702" s="13"/>
      <c r="B702" s="41"/>
      <c r="D702" s="12"/>
      <c r="E702" s="14"/>
      <c r="F702" s="14"/>
      <c r="M702" s="14"/>
      <c r="AL702" s="19"/>
      <c r="AM702" s="19"/>
      <c r="AN702" s="19"/>
    </row>
    <row r="703">
      <c r="A703" s="13"/>
      <c r="B703" s="41"/>
      <c r="D703" s="12"/>
      <c r="E703" s="14"/>
      <c r="F703" s="14"/>
      <c r="M703" s="14"/>
      <c r="AL703" s="19"/>
      <c r="AM703" s="19"/>
      <c r="AN703" s="19"/>
    </row>
    <row r="704">
      <c r="A704" s="13"/>
      <c r="B704" s="41"/>
      <c r="D704" s="12"/>
      <c r="E704" s="14"/>
      <c r="F704" s="14"/>
      <c r="M704" s="14"/>
      <c r="AL704" s="19"/>
      <c r="AM704" s="19"/>
      <c r="AN704" s="19"/>
    </row>
    <row r="705">
      <c r="A705" s="13"/>
      <c r="B705" s="41"/>
      <c r="D705" s="12"/>
      <c r="E705" s="14"/>
      <c r="F705" s="14"/>
      <c r="M705" s="14"/>
      <c r="AL705" s="19"/>
      <c r="AM705" s="19"/>
      <c r="AN705" s="19"/>
    </row>
    <row r="706">
      <c r="A706" s="13"/>
      <c r="B706" s="41"/>
      <c r="D706" s="12"/>
      <c r="E706" s="14"/>
      <c r="F706" s="14"/>
      <c r="M706" s="14"/>
      <c r="AL706" s="19"/>
      <c r="AM706" s="19"/>
      <c r="AN706" s="19"/>
    </row>
    <row r="707">
      <c r="A707" s="13"/>
      <c r="B707" s="41"/>
      <c r="D707" s="12"/>
      <c r="E707" s="14"/>
      <c r="F707" s="14"/>
      <c r="M707" s="14"/>
      <c r="AL707" s="19"/>
      <c r="AM707" s="19"/>
      <c r="AN707" s="19"/>
    </row>
    <row r="708">
      <c r="A708" s="13"/>
      <c r="B708" s="41"/>
      <c r="D708" s="12"/>
      <c r="E708" s="14"/>
      <c r="F708" s="14"/>
      <c r="M708" s="14"/>
      <c r="AL708" s="19"/>
      <c r="AM708" s="19"/>
      <c r="AN708" s="19"/>
    </row>
    <row r="709">
      <c r="A709" s="13"/>
      <c r="B709" s="41"/>
      <c r="D709" s="12"/>
      <c r="E709" s="14"/>
      <c r="F709" s="14"/>
      <c r="M709" s="14"/>
      <c r="AL709" s="19"/>
      <c r="AM709" s="19"/>
      <c r="AN709" s="19"/>
    </row>
    <row r="710">
      <c r="A710" s="13"/>
      <c r="B710" s="41"/>
      <c r="D710" s="12"/>
      <c r="E710" s="14"/>
      <c r="F710" s="14"/>
      <c r="M710" s="14"/>
      <c r="AL710" s="19"/>
      <c r="AM710" s="19"/>
      <c r="AN710" s="19"/>
    </row>
    <row r="711">
      <c r="A711" s="13"/>
      <c r="B711" s="41"/>
      <c r="D711" s="12"/>
      <c r="E711" s="14"/>
      <c r="F711" s="14"/>
      <c r="M711" s="14"/>
      <c r="AL711" s="19"/>
      <c r="AM711" s="19"/>
      <c r="AN711" s="19"/>
    </row>
    <row r="712">
      <c r="A712" s="13"/>
      <c r="B712" s="41"/>
      <c r="D712" s="12"/>
      <c r="E712" s="14"/>
      <c r="F712" s="14"/>
      <c r="M712" s="14"/>
      <c r="AL712" s="19"/>
      <c r="AM712" s="19"/>
      <c r="AN712" s="19"/>
    </row>
    <row r="713">
      <c r="A713" s="13"/>
      <c r="B713" s="41"/>
      <c r="D713" s="12"/>
      <c r="E713" s="14"/>
      <c r="F713" s="14"/>
      <c r="M713" s="14"/>
      <c r="AL713" s="19"/>
      <c r="AM713" s="19"/>
      <c r="AN713" s="19"/>
    </row>
    <row r="714">
      <c r="A714" s="13"/>
      <c r="B714" s="41"/>
      <c r="D714" s="12"/>
      <c r="E714" s="14"/>
      <c r="F714" s="14"/>
      <c r="M714" s="14"/>
      <c r="AL714" s="19"/>
      <c r="AM714" s="19"/>
      <c r="AN714" s="19"/>
    </row>
    <row r="715">
      <c r="A715" s="13"/>
      <c r="B715" s="41"/>
      <c r="D715" s="12"/>
      <c r="E715" s="14"/>
      <c r="F715" s="14"/>
      <c r="M715" s="14"/>
      <c r="AL715" s="19"/>
      <c r="AM715" s="19"/>
      <c r="AN715" s="19"/>
    </row>
    <row r="716">
      <c r="A716" s="13"/>
      <c r="B716" s="41"/>
      <c r="D716" s="12"/>
      <c r="E716" s="14"/>
      <c r="F716" s="14"/>
      <c r="M716" s="14"/>
      <c r="AL716" s="19"/>
      <c r="AM716" s="19"/>
      <c r="AN716" s="19"/>
    </row>
    <row r="717">
      <c r="A717" s="13"/>
      <c r="B717" s="41"/>
      <c r="D717" s="12"/>
      <c r="E717" s="14"/>
      <c r="F717" s="14"/>
      <c r="M717" s="14"/>
      <c r="AL717" s="19"/>
      <c r="AM717" s="19"/>
      <c r="AN717" s="19"/>
    </row>
    <row r="718">
      <c r="A718" s="13"/>
      <c r="B718" s="41"/>
      <c r="D718" s="12"/>
      <c r="E718" s="14"/>
      <c r="F718" s="14"/>
      <c r="M718" s="14"/>
      <c r="AL718" s="19"/>
      <c r="AM718" s="19"/>
      <c r="AN718" s="19"/>
    </row>
    <row r="719">
      <c r="A719" s="13"/>
      <c r="B719" s="41"/>
      <c r="D719" s="12"/>
      <c r="E719" s="14"/>
      <c r="F719" s="14"/>
      <c r="M719" s="14"/>
      <c r="AL719" s="19"/>
      <c r="AM719" s="19"/>
      <c r="AN719" s="19"/>
    </row>
    <row r="720">
      <c r="A720" s="13"/>
      <c r="B720" s="41"/>
      <c r="D720" s="12"/>
      <c r="E720" s="14"/>
      <c r="F720" s="14"/>
      <c r="M720" s="14"/>
      <c r="AL720" s="19"/>
      <c r="AM720" s="19"/>
      <c r="AN720" s="19"/>
    </row>
    <row r="721">
      <c r="A721" s="13"/>
      <c r="B721" s="41"/>
      <c r="D721" s="12"/>
      <c r="E721" s="14"/>
      <c r="F721" s="14"/>
      <c r="M721" s="14"/>
      <c r="AL721" s="19"/>
      <c r="AM721" s="19"/>
      <c r="AN721" s="19"/>
    </row>
    <row r="722">
      <c r="A722" s="13"/>
      <c r="B722" s="41"/>
      <c r="D722" s="12"/>
      <c r="E722" s="14"/>
      <c r="F722" s="14"/>
      <c r="M722" s="14"/>
      <c r="AL722" s="19"/>
      <c r="AM722" s="19"/>
      <c r="AN722" s="19"/>
    </row>
    <row r="723">
      <c r="A723" s="13"/>
      <c r="B723" s="41"/>
      <c r="D723" s="12"/>
      <c r="E723" s="14"/>
      <c r="F723" s="14"/>
      <c r="M723" s="14"/>
      <c r="AL723" s="19"/>
      <c r="AM723" s="19"/>
      <c r="AN723" s="19"/>
    </row>
    <row r="724">
      <c r="A724" s="13"/>
      <c r="B724" s="41"/>
      <c r="D724" s="12"/>
      <c r="E724" s="14"/>
      <c r="F724" s="14"/>
      <c r="M724" s="14"/>
      <c r="AL724" s="19"/>
      <c r="AM724" s="19"/>
      <c r="AN724" s="19"/>
    </row>
    <row r="725">
      <c r="A725" s="13"/>
      <c r="B725" s="41"/>
      <c r="D725" s="12"/>
      <c r="E725" s="14"/>
      <c r="F725" s="14"/>
      <c r="M725" s="14"/>
      <c r="AL725" s="19"/>
      <c r="AM725" s="19"/>
      <c r="AN725" s="19"/>
    </row>
    <row r="726">
      <c r="A726" s="13"/>
      <c r="B726" s="41"/>
      <c r="D726" s="12"/>
      <c r="E726" s="14"/>
      <c r="F726" s="14"/>
      <c r="M726" s="14"/>
      <c r="AL726" s="19"/>
      <c r="AM726" s="19"/>
      <c r="AN726" s="19"/>
    </row>
    <row r="727">
      <c r="A727" s="13"/>
      <c r="B727" s="41"/>
      <c r="D727" s="12"/>
      <c r="E727" s="14"/>
      <c r="F727" s="14"/>
      <c r="M727" s="14"/>
      <c r="AL727" s="19"/>
      <c r="AM727" s="19"/>
      <c r="AN727" s="19"/>
    </row>
    <row r="728">
      <c r="A728" s="13"/>
      <c r="B728" s="41"/>
      <c r="D728" s="12"/>
      <c r="E728" s="14"/>
      <c r="F728" s="14"/>
      <c r="M728" s="14"/>
      <c r="AL728" s="19"/>
      <c r="AM728" s="19"/>
      <c r="AN728" s="19"/>
    </row>
    <row r="729">
      <c r="A729" s="13"/>
      <c r="B729" s="41"/>
      <c r="D729" s="12"/>
      <c r="E729" s="14"/>
      <c r="F729" s="14"/>
      <c r="M729" s="14"/>
      <c r="AL729" s="19"/>
      <c r="AM729" s="19"/>
      <c r="AN729" s="19"/>
    </row>
    <row r="730">
      <c r="A730" s="13"/>
      <c r="B730" s="41"/>
      <c r="D730" s="12"/>
      <c r="E730" s="14"/>
      <c r="F730" s="14"/>
      <c r="M730" s="14"/>
      <c r="AL730" s="19"/>
      <c r="AM730" s="19"/>
      <c r="AN730" s="19"/>
    </row>
    <row r="731">
      <c r="A731" s="13"/>
      <c r="B731" s="41"/>
      <c r="D731" s="12"/>
      <c r="E731" s="14"/>
      <c r="F731" s="14"/>
      <c r="M731" s="14"/>
      <c r="AL731" s="19"/>
      <c r="AM731" s="19"/>
      <c r="AN731" s="19"/>
    </row>
    <row r="732">
      <c r="A732" s="13"/>
      <c r="B732" s="41"/>
      <c r="D732" s="12"/>
      <c r="E732" s="14"/>
      <c r="F732" s="14"/>
      <c r="M732" s="14"/>
      <c r="AL732" s="19"/>
      <c r="AM732" s="19"/>
      <c r="AN732" s="19"/>
    </row>
    <row r="733">
      <c r="A733" s="13"/>
      <c r="B733" s="41"/>
      <c r="D733" s="12"/>
      <c r="E733" s="14"/>
      <c r="F733" s="14"/>
      <c r="M733" s="14"/>
      <c r="AL733" s="19"/>
      <c r="AM733" s="19"/>
      <c r="AN733" s="19"/>
    </row>
    <row r="734">
      <c r="A734" s="13"/>
      <c r="B734" s="41"/>
      <c r="D734" s="12"/>
      <c r="E734" s="14"/>
      <c r="F734" s="14"/>
      <c r="M734" s="14"/>
      <c r="AL734" s="19"/>
      <c r="AM734" s="19"/>
      <c r="AN734" s="19"/>
    </row>
    <row r="735">
      <c r="A735" s="13"/>
      <c r="B735" s="41"/>
      <c r="D735" s="12"/>
      <c r="E735" s="14"/>
      <c r="F735" s="14"/>
      <c r="M735" s="14"/>
      <c r="AL735" s="19"/>
      <c r="AM735" s="19"/>
      <c r="AN735" s="19"/>
    </row>
    <row r="736">
      <c r="A736" s="13"/>
      <c r="B736" s="41"/>
      <c r="D736" s="12"/>
      <c r="E736" s="14"/>
      <c r="F736" s="14"/>
      <c r="M736" s="14"/>
      <c r="AL736" s="19"/>
      <c r="AM736" s="19"/>
      <c r="AN736" s="19"/>
    </row>
    <row r="737">
      <c r="A737" s="13"/>
      <c r="B737" s="41"/>
      <c r="D737" s="12"/>
      <c r="E737" s="14"/>
      <c r="F737" s="14"/>
      <c r="M737" s="14"/>
      <c r="AL737" s="19"/>
      <c r="AM737" s="19"/>
      <c r="AN737" s="19"/>
    </row>
    <row r="738">
      <c r="A738" s="13"/>
      <c r="B738" s="41"/>
      <c r="D738" s="12"/>
      <c r="E738" s="14"/>
      <c r="F738" s="14"/>
      <c r="M738" s="14"/>
      <c r="AL738" s="19"/>
      <c r="AM738" s="19"/>
      <c r="AN738" s="19"/>
    </row>
    <row r="739">
      <c r="A739" s="13"/>
      <c r="B739" s="41"/>
      <c r="D739" s="12"/>
      <c r="E739" s="14"/>
      <c r="F739" s="14"/>
      <c r="M739" s="14"/>
      <c r="AL739" s="19"/>
      <c r="AM739" s="19"/>
      <c r="AN739" s="19"/>
    </row>
    <row r="740">
      <c r="A740" s="13"/>
      <c r="B740" s="41"/>
      <c r="D740" s="12"/>
      <c r="E740" s="14"/>
      <c r="F740" s="14"/>
      <c r="M740" s="14"/>
      <c r="AL740" s="19"/>
      <c r="AM740" s="19"/>
      <c r="AN740" s="19"/>
    </row>
    <row r="741">
      <c r="A741" s="13"/>
      <c r="B741" s="41"/>
      <c r="D741" s="12"/>
      <c r="E741" s="14"/>
      <c r="F741" s="14"/>
      <c r="M741" s="14"/>
      <c r="AL741" s="19"/>
      <c r="AM741" s="19"/>
      <c r="AN741" s="19"/>
    </row>
    <row r="742">
      <c r="A742" s="13"/>
      <c r="B742" s="41"/>
      <c r="D742" s="12"/>
      <c r="E742" s="14"/>
      <c r="F742" s="14"/>
      <c r="M742" s="14"/>
      <c r="AL742" s="19"/>
      <c r="AM742" s="19"/>
      <c r="AN742" s="19"/>
    </row>
    <row r="743">
      <c r="A743" s="13"/>
      <c r="B743" s="41"/>
      <c r="D743" s="12"/>
      <c r="E743" s="14"/>
      <c r="F743" s="14"/>
      <c r="M743" s="14"/>
      <c r="AL743" s="19"/>
      <c r="AM743" s="19"/>
      <c r="AN743" s="19"/>
    </row>
    <row r="744">
      <c r="A744" s="13"/>
      <c r="B744" s="41"/>
      <c r="D744" s="12"/>
      <c r="E744" s="14"/>
      <c r="F744" s="14"/>
      <c r="M744" s="14"/>
      <c r="AL744" s="19"/>
      <c r="AM744" s="19"/>
      <c r="AN744" s="19"/>
    </row>
    <row r="745">
      <c r="A745" s="13"/>
      <c r="B745" s="41"/>
      <c r="D745" s="12"/>
      <c r="E745" s="14"/>
      <c r="F745" s="14"/>
      <c r="M745" s="14"/>
      <c r="AL745" s="19"/>
      <c r="AM745" s="19"/>
      <c r="AN745" s="19"/>
    </row>
    <row r="746">
      <c r="A746" s="13"/>
      <c r="B746" s="41"/>
      <c r="D746" s="12"/>
      <c r="E746" s="14"/>
      <c r="F746" s="14"/>
      <c r="M746" s="14"/>
      <c r="AL746" s="19"/>
      <c r="AM746" s="19"/>
      <c r="AN746" s="19"/>
    </row>
    <row r="747">
      <c r="A747" s="13"/>
      <c r="B747" s="41"/>
      <c r="D747" s="12"/>
      <c r="E747" s="14"/>
      <c r="F747" s="14"/>
      <c r="M747" s="14"/>
      <c r="AL747" s="19"/>
      <c r="AM747" s="19"/>
      <c r="AN747" s="19"/>
    </row>
    <row r="748">
      <c r="A748" s="13"/>
      <c r="B748" s="41"/>
      <c r="D748" s="12"/>
      <c r="E748" s="14"/>
      <c r="F748" s="14"/>
      <c r="M748" s="14"/>
      <c r="AL748" s="19"/>
      <c r="AM748" s="19"/>
      <c r="AN748" s="19"/>
    </row>
    <row r="749">
      <c r="A749" s="13"/>
      <c r="B749" s="41"/>
      <c r="D749" s="12"/>
      <c r="E749" s="14"/>
      <c r="F749" s="14"/>
      <c r="M749" s="14"/>
      <c r="AL749" s="19"/>
      <c r="AM749" s="19"/>
      <c r="AN749" s="19"/>
    </row>
    <row r="750">
      <c r="A750" s="13"/>
      <c r="B750" s="41"/>
      <c r="D750" s="12"/>
      <c r="E750" s="14"/>
      <c r="F750" s="14"/>
      <c r="M750" s="14"/>
      <c r="AL750" s="19"/>
      <c r="AM750" s="19"/>
      <c r="AN750" s="19"/>
    </row>
    <row r="751">
      <c r="A751" s="13"/>
      <c r="B751" s="41"/>
      <c r="D751" s="12"/>
      <c r="E751" s="14"/>
      <c r="F751" s="14"/>
      <c r="M751" s="14"/>
      <c r="AL751" s="19"/>
      <c r="AM751" s="19"/>
      <c r="AN751" s="19"/>
    </row>
    <row r="752">
      <c r="A752" s="13"/>
      <c r="B752" s="41"/>
      <c r="D752" s="12"/>
      <c r="E752" s="14"/>
      <c r="F752" s="14"/>
      <c r="M752" s="14"/>
      <c r="AL752" s="19"/>
      <c r="AM752" s="19"/>
      <c r="AN752" s="19"/>
    </row>
    <row r="753">
      <c r="A753" s="13"/>
      <c r="B753" s="41"/>
      <c r="D753" s="12"/>
      <c r="E753" s="14"/>
      <c r="F753" s="14"/>
      <c r="M753" s="14"/>
      <c r="AL753" s="19"/>
      <c r="AM753" s="19"/>
      <c r="AN753" s="19"/>
    </row>
    <row r="754">
      <c r="A754" s="13"/>
      <c r="B754" s="41"/>
      <c r="D754" s="12"/>
      <c r="E754" s="14"/>
      <c r="F754" s="14"/>
      <c r="M754" s="14"/>
      <c r="AL754" s="19"/>
      <c r="AM754" s="19"/>
      <c r="AN754" s="19"/>
    </row>
    <row r="755">
      <c r="A755" s="13"/>
      <c r="B755" s="41"/>
      <c r="D755" s="12"/>
      <c r="E755" s="14"/>
      <c r="F755" s="14"/>
      <c r="M755" s="14"/>
      <c r="AL755" s="19"/>
      <c r="AM755" s="19"/>
      <c r="AN755" s="19"/>
    </row>
    <row r="756">
      <c r="A756" s="13"/>
      <c r="B756" s="41"/>
      <c r="D756" s="12"/>
      <c r="E756" s="14"/>
      <c r="F756" s="14"/>
      <c r="M756" s="14"/>
      <c r="AL756" s="19"/>
      <c r="AM756" s="19"/>
      <c r="AN756" s="19"/>
    </row>
    <row r="757">
      <c r="A757" s="13"/>
      <c r="B757" s="41"/>
      <c r="D757" s="12"/>
      <c r="E757" s="14"/>
      <c r="F757" s="14"/>
      <c r="M757" s="14"/>
      <c r="AL757" s="19"/>
      <c r="AM757" s="19"/>
      <c r="AN757" s="19"/>
    </row>
    <row r="758">
      <c r="A758" s="13"/>
      <c r="B758" s="41"/>
      <c r="D758" s="12"/>
      <c r="E758" s="14"/>
      <c r="F758" s="14"/>
      <c r="M758" s="14"/>
      <c r="AL758" s="19"/>
      <c r="AM758" s="19"/>
      <c r="AN758" s="19"/>
    </row>
    <row r="759">
      <c r="A759" s="13"/>
      <c r="B759" s="41"/>
      <c r="D759" s="12"/>
      <c r="E759" s="14"/>
      <c r="F759" s="14"/>
      <c r="M759" s="14"/>
      <c r="AL759" s="19"/>
      <c r="AM759" s="19"/>
      <c r="AN759" s="19"/>
    </row>
    <row r="760">
      <c r="A760" s="13"/>
      <c r="B760" s="41"/>
      <c r="D760" s="12"/>
      <c r="E760" s="14"/>
      <c r="F760" s="14"/>
      <c r="M760" s="14"/>
      <c r="AL760" s="19"/>
      <c r="AM760" s="19"/>
      <c r="AN760" s="19"/>
    </row>
    <row r="761">
      <c r="A761" s="13"/>
      <c r="B761" s="41"/>
      <c r="D761" s="12"/>
      <c r="E761" s="14"/>
      <c r="F761" s="14"/>
      <c r="M761" s="14"/>
      <c r="AL761" s="19"/>
      <c r="AM761" s="19"/>
      <c r="AN761" s="19"/>
    </row>
    <row r="762">
      <c r="A762" s="13"/>
      <c r="B762" s="41"/>
      <c r="D762" s="12"/>
      <c r="E762" s="14"/>
      <c r="F762" s="14"/>
      <c r="M762" s="14"/>
      <c r="AL762" s="19"/>
      <c r="AM762" s="19"/>
      <c r="AN762" s="19"/>
    </row>
    <row r="763">
      <c r="A763" s="13"/>
      <c r="B763" s="41"/>
      <c r="D763" s="12"/>
      <c r="E763" s="14"/>
      <c r="F763" s="14"/>
      <c r="M763" s="14"/>
      <c r="AL763" s="19"/>
      <c r="AM763" s="19"/>
      <c r="AN763" s="19"/>
    </row>
    <row r="764">
      <c r="A764" s="13"/>
      <c r="B764" s="41"/>
      <c r="D764" s="12"/>
      <c r="E764" s="14"/>
      <c r="F764" s="14"/>
      <c r="M764" s="14"/>
      <c r="AL764" s="19"/>
      <c r="AM764" s="19"/>
      <c r="AN764" s="19"/>
    </row>
    <row r="765">
      <c r="A765" s="13"/>
      <c r="B765" s="41"/>
      <c r="D765" s="12"/>
      <c r="E765" s="14"/>
      <c r="F765" s="14"/>
      <c r="M765" s="14"/>
      <c r="AL765" s="19"/>
      <c r="AM765" s="19"/>
      <c r="AN765" s="19"/>
    </row>
    <row r="766">
      <c r="A766" s="13"/>
      <c r="B766" s="41"/>
      <c r="D766" s="12"/>
      <c r="E766" s="14"/>
      <c r="F766" s="14"/>
      <c r="M766" s="14"/>
      <c r="AL766" s="19"/>
      <c r="AM766" s="19"/>
      <c r="AN766" s="19"/>
    </row>
    <row r="767">
      <c r="A767" s="13"/>
      <c r="B767" s="41"/>
      <c r="D767" s="12"/>
      <c r="E767" s="14"/>
      <c r="F767" s="14"/>
      <c r="M767" s="14"/>
      <c r="AL767" s="19"/>
      <c r="AM767" s="19"/>
      <c r="AN767" s="19"/>
    </row>
    <row r="768">
      <c r="A768" s="13"/>
      <c r="B768" s="41"/>
      <c r="D768" s="12"/>
      <c r="E768" s="14"/>
      <c r="F768" s="14"/>
      <c r="M768" s="14"/>
      <c r="AL768" s="19"/>
      <c r="AM768" s="19"/>
      <c r="AN768" s="19"/>
    </row>
    <row r="769">
      <c r="A769" s="13"/>
      <c r="B769" s="41"/>
      <c r="D769" s="12"/>
      <c r="E769" s="14"/>
      <c r="F769" s="14"/>
      <c r="M769" s="14"/>
      <c r="AL769" s="19"/>
      <c r="AM769" s="19"/>
      <c r="AN769" s="19"/>
    </row>
    <row r="770">
      <c r="A770" s="13"/>
      <c r="B770" s="41"/>
      <c r="D770" s="12"/>
      <c r="E770" s="14"/>
      <c r="F770" s="14"/>
      <c r="M770" s="14"/>
      <c r="AL770" s="19"/>
      <c r="AM770" s="19"/>
      <c r="AN770" s="19"/>
    </row>
    <row r="771">
      <c r="A771" s="13"/>
      <c r="B771" s="41"/>
      <c r="D771" s="12"/>
      <c r="E771" s="14"/>
      <c r="F771" s="14"/>
      <c r="M771" s="14"/>
      <c r="AL771" s="19"/>
      <c r="AM771" s="19"/>
      <c r="AN771" s="19"/>
    </row>
    <row r="772">
      <c r="A772" s="13"/>
      <c r="B772" s="41"/>
      <c r="D772" s="12"/>
      <c r="E772" s="14"/>
      <c r="F772" s="14"/>
      <c r="M772" s="14"/>
      <c r="AL772" s="19"/>
      <c r="AM772" s="19"/>
      <c r="AN772" s="19"/>
    </row>
    <row r="773">
      <c r="A773" s="13"/>
      <c r="B773" s="41"/>
      <c r="D773" s="12"/>
      <c r="E773" s="14"/>
      <c r="F773" s="14"/>
      <c r="M773" s="14"/>
      <c r="AL773" s="19"/>
      <c r="AM773" s="19"/>
      <c r="AN773" s="19"/>
    </row>
    <row r="774">
      <c r="A774" s="13"/>
      <c r="B774" s="41"/>
      <c r="D774" s="12"/>
      <c r="E774" s="14"/>
      <c r="F774" s="14"/>
      <c r="M774" s="14"/>
      <c r="AL774" s="19"/>
      <c r="AM774" s="19"/>
      <c r="AN774" s="19"/>
    </row>
    <row r="775">
      <c r="A775" s="13"/>
      <c r="B775" s="41"/>
      <c r="D775" s="12"/>
      <c r="E775" s="14"/>
      <c r="F775" s="14"/>
      <c r="M775" s="14"/>
      <c r="AL775" s="19"/>
      <c r="AM775" s="19"/>
      <c r="AN775" s="19"/>
    </row>
    <row r="776">
      <c r="A776" s="13"/>
      <c r="B776" s="41"/>
      <c r="D776" s="12"/>
      <c r="E776" s="14"/>
      <c r="F776" s="14"/>
      <c r="M776" s="14"/>
      <c r="AL776" s="19"/>
      <c r="AM776" s="19"/>
      <c r="AN776" s="19"/>
    </row>
    <row r="777">
      <c r="A777" s="13"/>
      <c r="B777" s="41"/>
      <c r="D777" s="12"/>
      <c r="E777" s="14"/>
      <c r="F777" s="14"/>
      <c r="M777" s="14"/>
      <c r="AL777" s="19"/>
      <c r="AM777" s="19"/>
      <c r="AN777" s="19"/>
    </row>
    <row r="778">
      <c r="A778" s="13"/>
      <c r="B778" s="41"/>
      <c r="D778" s="12"/>
      <c r="E778" s="14"/>
      <c r="F778" s="14"/>
      <c r="M778" s="14"/>
      <c r="AL778" s="19"/>
      <c r="AM778" s="19"/>
      <c r="AN778" s="19"/>
    </row>
    <row r="779">
      <c r="A779" s="13"/>
      <c r="B779" s="41"/>
      <c r="D779" s="12"/>
      <c r="E779" s="14"/>
      <c r="F779" s="14"/>
      <c r="M779" s="14"/>
      <c r="AL779" s="19"/>
      <c r="AM779" s="19"/>
      <c r="AN779" s="19"/>
    </row>
    <row r="780">
      <c r="A780" s="13"/>
      <c r="B780" s="41"/>
      <c r="D780" s="12"/>
      <c r="E780" s="14"/>
      <c r="F780" s="14"/>
      <c r="M780" s="14"/>
      <c r="AL780" s="19"/>
      <c r="AM780" s="19"/>
      <c r="AN780" s="19"/>
    </row>
    <row r="781">
      <c r="A781" s="13"/>
      <c r="B781" s="41"/>
      <c r="D781" s="12"/>
      <c r="E781" s="14"/>
      <c r="F781" s="14"/>
      <c r="M781" s="14"/>
      <c r="AL781" s="19"/>
      <c r="AM781" s="19"/>
      <c r="AN781" s="19"/>
    </row>
    <row r="782">
      <c r="A782" s="13"/>
      <c r="B782" s="41"/>
      <c r="D782" s="12"/>
      <c r="E782" s="14"/>
      <c r="F782" s="14"/>
      <c r="M782" s="14"/>
      <c r="AL782" s="19"/>
      <c r="AM782" s="19"/>
      <c r="AN782" s="19"/>
    </row>
    <row r="783">
      <c r="A783" s="13"/>
      <c r="B783" s="41"/>
      <c r="D783" s="12"/>
      <c r="E783" s="14"/>
      <c r="F783" s="14"/>
      <c r="M783" s="14"/>
      <c r="AL783" s="19"/>
      <c r="AM783" s="19"/>
      <c r="AN783" s="19"/>
    </row>
    <row r="784">
      <c r="A784" s="13"/>
      <c r="B784" s="41"/>
      <c r="D784" s="12"/>
      <c r="E784" s="14"/>
      <c r="F784" s="14"/>
      <c r="M784" s="14"/>
      <c r="AL784" s="19"/>
      <c r="AM784" s="19"/>
      <c r="AN784" s="19"/>
    </row>
    <row r="785">
      <c r="A785" s="13"/>
      <c r="B785" s="41"/>
      <c r="D785" s="12"/>
      <c r="E785" s="14"/>
      <c r="F785" s="14"/>
      <c r="M785" s="14"/>
      <c r="AL785" s="19"/>
      <c r="AM785" s="19"/>
      <c r="AN785" s="19"/>
    </row>
    <row r="786">
      <c r="A786" s="13"/>
      <c r="B786" s="41"/>
      <c r="D786" s="12"/>
      <c r="E786" s="14"/>
      <c r="F786" s="14"/>
      <c r="M786" s="14"/>
      <c r="AL786" s="19"/>
      <c r="AM786" s="19"/>
      <c r="AN786" s="19"/>
    </row>
    <row r="787">
      <c r="A787" s="13"/>
      <c r="B787" s="41"/>
      <c r="D787" s="12"/>
      <c r="E787" s="14"/>
      <c r="F787" s="14"/>
      <c r="M787" s="14"/>
      <c r="AL787" s="19"/>
      <c r="AM787" s="19"/>
      <c r="AN787" s="19"/>
    </row>
    <row r="788">
      <c r="A788" s="13"/>
      <c r="B788" s="41"/>
      <c r="D788" s="12"/>
      <c r="E788" s="14"/>
      <c r="F788" s="14"/>
      <c r="M788" s="14"/>
      <c r="AL788" s="19"/>
      <c r="AM788" s="19"/>
      <c r="AN788" s="19"/>
    </row>
    <row r="789">
      <c r="A789" s="13"/>
      <c r="B789" s="41"/>
      <c r="D789" s="12"/>
      <c r="E789" s="14"/>
      <c r="F789" s="14"/>
      <c r="M789" s="14"/>
      <c r="AL789" s="19"/>
      <c r="AM789" s="19"/>
      <c r="AN789" s="19"/>
    </row>
    <row r="790">
      <c r="A790" s="13"/>
      <c r="B790" s="41"/>
      <c r="D790" s="12"/>
      <c r="E790" s="14"/>
      <c r="F790" s="14"/>
      <c r="M790" s="14"/>
      <c r="AL790" s="19"/>
      <c r="AM790" s="19"/>
      <c r="AN790" s="19"/>
    </row>
    <row r="791">
      <c r="A791" s="13"/>
      <c r="B791" s="41"/>
      <c r="D791" s="12"/>
      <c r="E791" s="14"/>
      <c r="F791" s="14"/>
      <c r="M791" s="14"/>
      <c r="AL791" s="19"/>
      <c r="AM791" s="19"/>
      <c r="AN791" s="19"/>
    </row>
    <row r="792">
      <c r="A792" s="13"/>
      <c r="B792" s="41"/>
      <c r="D792" s="12"/>
      <c r="E792" s="14"/>
      <c r="F792" s="14"/>
      <c r="M792" s="14"/>
      <c r="AL792" s="19"/>
      <c r="AM792" s="19"/>
      <c r="AN792" s="19"/>
    </row>
    <row r="793">
      <c r="A793" s="13"/>
      <c r="B793" s="41"/>
      <c r="D793" s="12"/>
      <c r="E793" s="14"/>
      <c r="F793" s="14"/>
      <c r="M793" s="14"/>
      <c r="AL793" s="19"/>
      <c r="AM793" s="19"/>
      <c r="AN793" s="19"/>
    </row>
    <row r="794">
      <c r="A794" s="13"/>
      <c r="B794" s="41"/>
      <c r="D794" s="12"/>
      <c r="E794" s="14"/>
      <c r="F794" s="14"/>
      <c r="M794" s="14"/>
      <c r="AL794" s="19"/>
      <c r="AM794" s="19"/>
      <c r="AN794" s="19"/>
    </row>
    <row r="795">
      <c r="A795" s="13"/>
      <c r="B795" s="41"/>
      <c r="D795" s="12"/>
      <c r="E795" s="14"/>
      <c r="F795" s="14"/>
      <c r="M795" s="14"/>
      <c r="AL795" s="19"/>
      <c r="AM795" s="19"/>
      <c r="AN795" s="19"/>
    </row>
    <row r="796">
      <c r="A796" s="13"/>
      <c r="B796" s="41"/>
      <c r="D796" s="12"/>
      <c r="E796" s="14"/>
      <c r="F796" s="14"/>
      <c r="M796" s="14"/>
      <c r="AL796" s="19"/>
      <c r="AM796" s="19"/>
      <c r="AN796" s="19"/>
    </row>
    <row r="797">
      <c r="A797" s="13"/>
      <c r="B797" s="41"/>
      <c r="D797" s="12"/>
      <c r="E797" s="14"/>
      <c r="F797" s="14"/>
      <c r="M797" s="14"/>
      <c r="AL797" s="19"/>
      <c r="AM797" s="19"/>
      <c r="AN797" s="19"/>
    </row>
    <row r="798">
      <c r="A798" s="13"/>
      <c r="B798" s="41"/>
      <c r="D798" s="12"/>
      <c r="E798" s="14"/>
      <c r="F798" s="14"/>
      <c r="M798" s="14"/>
      <c r="AL798" s="19"/>
      <c r="AM798" s="19"/>
      <c r="AN798" s="19"/>
    </row>
    <row r="799">
      <c r="A799" s="13"/>
      <c r="B799" s="41"/>
      <c r="D799" s="12"/>
      <c r="E799" s="14"/>
      <c r="F799" s="14"/>
      <c r="M799" s="14"/>
      <c r="AL799" s="19"/>
      <c r="AM799" s="19"/>
      <c r="AN799" s="19"/>
    </row>
    <row r="800">
      <c r="A800" s="13"/>
      <c r="B800" s="41"/>
      <c r="D800" s="12"/>
      <c r="E800" s="14"/>
      <c r="F800" s="14"/>
      <c r="M800" s="14"/>
      <c r="AL800" s="19"/>
      <c r="AM800" s="19"/>
      <c r="AN800" s="19"/>
    </row>
    <row r="801">
      <c r="A801" s="13"/>
      <c r="B801" s="41"/>
      <c r="D801" s="12"/>
      <c r="E801" s="14"/>
      <c r="F801" s="14"/>
      <c r="M801" s="14"/>
      <c r="AL801" s="19"/>
      <c r="AM801" s="19"/>
      <c r="AN801" s="19"/>
    </row>
    <row r="802">
      <c r="A802" s="13"/>
      <c r="B802" s="41"/>
      <c r="D802" s="12"/>
      <c r="E802" s="14"/>
      <c r="F802" s="14"/>
      <c r="M802" s="14"/>
      <c r="AL802" s="19"/>
      <c r="AM802" s="19"/>
      <c r="AN802" s="19"/>
    </row>
    <row r="803">
      <c r="A803" s="13"/>
      <c r="B803" s="41"/>
      <c r="D803" s="12"/>
      <c r="E803" s="14"/>
      <c r="F803" s="14"/>
      <c r="M803" s="14"/>
      <c r="AL803" s="19"/>
      <c r="AM803" s="19"/>
      <c r="AN803" s="19"/>
    </row>
    <row r="804">
      <c r="A804" s="13"/>
      <c r="B804" s="41"/>
      <c r="D804" s="12"/>
      <c r="E804" s="14"/>
      <c r="F804" s="14"/>
      <c r="M804" s="14"/>
      <c r="AL804" s="19"/>
      <c r="AM804" s="19"/>
      <c r="AN804" s="19"/>
    </row>
    <row r="805">
      <c r="A805" s="13"/>
      <c r="B805" s="41"/>
      <c r="D805" s="12"/>
      <c r="E805" s="14"/>
      <c r="F805" s="14"/>
      <c r="M805" s="14"/>
      <c r="AL805" s="19"/>
      <c r="AM805" s="19"/>
      <c r="AN805" s="19"/>
    </row>
    <row r="806">
      <c r="A806" s="13"/>
      <c r="B806" s="41"/>
      <c r="D806" s="12"/>
      <c r="E806" s="14"/>
      <c r="F806" s="14"/>
      <c r="M806" s="14"/>
      <c r="AL806" s="19"/>
      <c r="AM806" s="19"/>
      <c r="AN806" s="19"/>
    </row>
    <row r="807">
      <c r="A807" s="13"/>
      <c r="B807" s="41"/>
      <c r="D807" s="12"/>
      <c r="E807" s="14"/>
      <c r="F807" s="14"/>
      <c r="M807" s="14"/>
      <c r="AL807" s="19"/>
      <c r="AM807" s="19"/>
      <c r="AN807" s="19"/>
    </row>
    <row r="808">
      <c r="A808" s="13"/>
      <c r="B808" s="41"/>
      <c r="D808" s="12"/>
      <c r="E808" s="14"/>
      <c r="F808" s="14"/>
      <c r="M808" s="14"/>
      <c r="AL808" s="19"/>
      <c r="AM808" s="19"/>
      <c r="AN808" s="19"/>
    </row>
    <row r="809">
      <c r="A809" s="13"/>
      <c r="B809" s="41"/>
      <c r="D809" s="12"/>
      <c r="E809" s="14"/>
      <c r="F809" s="14"/>
      <c r="M809" s="14"/>
      <c r="AL809" s="19"/>
      <c r="AM809" s="19"/>
      <c r="AN809" s="19"/>
    </row>
    <row r="810">
      <c r="A810" s="13"/>
      <c r="B810" s="41"/>
      <c r="D810" s="12"/>
      <c r="E810" s="14"/>
      <c r="F810" s="14"/>
      <c r="M810" s="14"/>
      <c r="AL810" s="19"/>
      <c r="AM810" s="19"/>
      <c r="AN810" s="19"/>
    </row>
    <row r="811">
      <c r="A811" s="13"/>
      <c r="B811" s="41"/>
      <c r="D811" s="12"/>
      <c r="E811" s="14"/>
      <c r="F811" s="14"/>
      <c r="M811" s="14"/>
      <c r="AL811" s="19"/>
      <c r="AM811" s="19"/>
      <c r="AN811" s="19"/>
    </row>
    <row r="812">
      <c r="A812" s="13"/>
      <c r="B812" s="41"/>
      <c r="D812" s="12"/>
      <c r="E812" s="14"/>
      <c r="F812" s="14"/>
      <c r="M812" s="14"/>
      <c r="AL812" s="19"/>
      <c r="AM812" s="19"/>
      <c r="AN812" s="19"/>
    </row>
    <row r="813">
      <c r="A813" s="13"/>
      <c r="B813" s="41"/>
      <c r="D813" s="12"/>
      <c r="E813" s="14"/>
      <c r="F813" s="14"/>
      <c r="M813" s="14"/>
      <c r="AL813" s="19"/>
      <c r="AM813" s="19"/>
      <c r="AN813" s="19"/>
    </row>
    <row r="814">
      <c r="A814" s="13"/>
      <c r="B814" s="41"/>
      <c r="D814" s="12"/>
      <c r="E814" s="14"/>
      <c r="F814" s="14"/>
      <c r="M814" s="14"/>
      <c r="AL814" s="19"/>
      <c r="AM814" s="19"/>
      <c r="AN814" s="19"/>
    </row>
    <row r="815">
      <c r="A815" s="13"/>
      <c r="B815" s="41"/>
      <c r="D815" s="12"/>
      <c r="E815" s="14"/>
      <c r="F815" s="14"/>
      <c r="M815" s="14"/>
      <c r="AL815" s="19"/>
      <c r="AM815" s="19"/>
      <c r="AN815" s="19"/>
    </row>
    <row r="816">
      <c r="A816" s="13"/>
      <c r="B816" s="41"/>
      <c r="D816" s="12"/>
      <c r="E816" s="14"/>
      <c r="F816" s="14"/>
      <c r="M816" s="14"/>
      <c r="AL816" s="19"/>
      <c r="AM816" s="19"/>
      <c r="AN816" s="19"/>
    </row>
    <row r="817">
      <c r="A817" s="13"/>
      <c r="B817" s="41"/>
      <c r="D817" s="12"/>
      <c r="E817" s="14"/>
      <c r="F817" s="14"/>
      <c r="M817" s="14"/>
      <c r="AL817" s="19"/>
      <c r="AM817" s="19"/>
      <c r="AN817" s="19"/>
    </row>
    <row r="818">
      <c r="A818" s="13"/>
      <c r="B818" s="41"/>
      <c r="D818" s="12"/>
      <c r="E818" s="14"/>
      <c r="F818" s="14"/>
      <c r="M818" s="14"/>
      <c r="AL818" s="19"/>
      <c r="AM818" s="19"/>
      <c r="AN818" s="19"/>
    </row>
    <row r="819">
      <c r="A819" s="13"/>
      <c r="B819" s="41"/>
      <c r="D819" s="12"/>
      <c r="E819" s="14"/>
      <c r="F819" s="14"/>
      <c r="M819" s="14"/>
      <c r="AL819" s="19"/>
      <c r="AM819" s="19"/>
      <c r="AN819" s="19"/>
    </row>
    <row r="820">
      <c r="A820" s="13"/>
      <c r="B820" s="41"/>
      <c r="D820" s="12"/>
      <c r="E820" s="14"/>
      <c r="F820" s="14"/>
      <c r="M820" s="14"/>
      <c r="AL820" s="19"/>
      <c r="AM820" s="19"/>
      <c r="AN820" s="19"/>
    </row>
    <row r="821">
      <c r="A821" s="13"/>
      <c r="B821" s="41"/>
      <c r="D821" s="12"/>
      <c r="E821" s="14"/>
      <c r="F821" s="14"/>
      <c r="M821" s="14"/>
      <c r="AL821" s="19"/>
      <c r="AM821" s="19"/>
      <c r="AN821" s="19"/>
    </row>
    <row r="822">
      <c r="A822" s="13"/>
      <c r="B822" s="41"/>
      <c r="D822" s="12"/>
      <c r="E822" s="14"/>
      <c r="F822" s="14"/>
      <c r="M822" s="14"/>
      <c r="AL822" s="19"/>
      <c r="AM822" s="19"/>
      <c r="AN822" s="19"/>
    </row>
    <row r="823">
      <c r="A823" s="13"/>
      <c r="B823" s="41"/>
      <c r="D823" s="12"/>
      <c r="E823" s="14"/>
      <c r="F823" s="14"/>
      <c r="M823" s="14"/>
      <c r="AL823" s="19"/>
      <c r="AM823" s="19"/>
      <c r="AN823" s="19"/>
    </row>
    <row r="824">
      <c r="A824" s="13"/>
      <c r="B824" s="41"/>
      <c r="D824" s="12"/>
      <c r="E824" s="14"/>
      <c r="F824" s="14"/>
      <c r="M824" s="14"/>
      <c r="AL824" s="19"/>
      <c r="AM824" s="19"/>
      <c r="AN824" s="19"/>
    </row>
    <row r="825">
      <c r="A825" s="13"/>
      <c r="B825" s="41"/>
      <c r="D825" s="12"/>
      <c r="E825" s="14"/>
      <c r="F825" s="14"/>
      <c r="M825" s="14"/>
      <c r="AL825" s="19"/>
      <c r="AM825" s="19"/>
      <c r="AN825" s="19"/>
    </row>
    <row r="826">
      <c r="A826" s="13"/>
      <c r="B826" s="41"/>
      <c r="D826" s="12"/>
      <c r="E826" s="14"/>
      <c r="F826" s="14"/>
      <c r="M826" s="14"/>
      <c r="AL826" s="19"/>
      <c r="AM826" s="19"/>
      <c r="AN826" s="19"/>
    </row>
    <row r="827">
      <c r="A827" s="13"/>
      <c r="B827" s="41"/>
      <c r="D827" s="12"/>
      <c r="E827" s="14"/>
      <c r="F827" s="14"/>
      <c r="M827" s="14"/>
      <c r="AL827" s="19"/>
      <c r="AM827" s="19"/>
      <c r="AN827" s="19"/>
    </row>
    <row r="828">
      <c r="A828" s="13"/>
      <c r="B828" s="41"/>
      <c r="D828" s="12"/>
      <c r="E828" s="14"/>
      <c r="F828" s="14"/>
      <c r="M828" s="14"/>
      <c r="AL828" s="19"/>
      <c r="AM828" s="19"/>
      <c r="AN828" s="19"/>
    </row>
    <row r="829">
      <c r="A829" s="13"/>
      <c r="B829" s="41"/>
      <c r="D829" s="12"/>
      <c r="E829" s="14"/>
      <c r="F829" s="14"/>
      <c r="M829" s="14"/>
      <c r="AL829" s="19"/>
      <c r="AM829" s="19"/>
      <c r="AN829" s="19"/>
    </row>
    <row r="830">
      <c r="A830" s="13"/>
      <c r="B830" s="41"/>
      <c r="D830" s="12"/>
      <c r="E830" s="14"/>
      <c r="F830" s="14"/>
      <c r="M830" s="14"/>
      <c r="AL830" s="19"/>
      <c r="AM830" s="19"/>
      <c r="AN830" s="19"/>
    </row>
    <row r="831">
      <c r="A831" s="13"/>
      <c r="B831" s="41"/>
      <c r="D831" s="12"/>
      <c r="E831" s="14"/>
      <c r="F831" s="14"/>
      <c r="M831" s="14"/>
      <c r="AL831" s="19"/>
      <c r="AM831" s="19"/>
      <c r="AN831" s="19"/>
    </row>
    <row r="832">
      <c r="A832" s="13"/>
      <c r="B832" s="41"/>
      <c r="D832" s="12"/>
      <c r="E832" s="14"/>
      <c r="F832" s="14"/>
      <c r="M832" s="14"/>
      <c r="AL832" s="19"/>
      <c r="AM832" s="19"/>
      <c r="AN832" s="19"/>
    </row>
    <row r="833">
      <c r="A833" s="13"/>
      <c r="B833" s="41"/>
      <c r="D833" s="12"/>
      <c r="E833" s="14"/>
      <c r="F833" s="14"/>
      <c r="M833" s="14"/>
      <c r="AL833" s="19"/>
      <c r="AM833" s="19"/>
      <c r="AN833" s="19"/>
    </row>
    <row r="834">
      <c r="A834" s="13"/>
      <c r="B834" s="41"/>
      <c r="D834" s="12"/>
      <c r="E834" s="14"/>
      <c r="F834" s="14"/>
      <c r="M834" s="14"/>
      <c r="AL834" s="19"/>
      <c r="AM834" s="19"/>
      <c r="AN834" s="19"/>
    </row>
    <row r="835">
      <c r="A835" s="13"/>
      <c r="B835" s="41"/>
      <c r="D835" s="12"/>
      <c r="E835" s="14"/>
      <c r="F835" s="14"/>
      <c r="M835" s="14"/>
      <c r="AL835" s="19"/>
      <c r="AM835" s="19"/>
      <c r="AN835" s="19"/>
    </row>
    <row r="836">
      <c r="A836" s="13"/>
      <c r="B836" s="41"/>
      <c r="D836" s="12"/>
      <c r="E836" s="14"/>
      <c r="F836" s="14"/>
      <c r="M836" s="14"/>
      <c r="AL836" s="19"/>
      <c r="AM836" s="19"/>
      <c r="AN836" s="19"/>
    </row>
    <row r="837">
      <c r="A837" s="13"/>
      <c r="B837" s="41"/>
      <c r="D837" s="12"/>
      <c r="E837" s="14"/>
      <c r="F837" s="14"/>
      <c r="M837" s="14"/>
      <c r="AL837" s="19"/>
      <c r="AM837" s="19"/>
      <c r="AN837" s="19"/>
    </row>
    <row r="838">
      <c r="A838" s="13"/>
      <c r="B838" s="41"/>
      <c r="D838" s="12"/>
      <c r="E838" s="14"/>
      <c r="F838" s="14"/>
      <c r="M838" s="14"/>
      <c r="AL838" s="19"/>
      <c r="AM838" s="19"/>
      <c r="AN838" s="19"/>
    </row>
    <row r="839">
      <c r="A839" s="13"/>
      <c r="B839" s="41"/>
      <c r="D839" s="12"/>
      <c r="E839" s="14"/>
      <c r="F839" s="14"/>
      <c r="M839" s="14"/>
      <c r="AL839" s="19"/>
      <c r="AM839" s="19"/>
      <c r="AN839" s="19"/>
    </row>
    <row r="840">
      <c r="A840" s="13"/>
      <c r="B840" s="41"/>
      <c r="D840" s="12"/>
      <c r="E840" s="14"/>
      <c r="F840" s="14"/>
      <c r="M840" s="14"/>
      <c r="AL840" s="19"/>
      <c r="AM840" s="19"/>
      <c r="AN840" s="19"/>
    </row>
    <row r="841">
      <c r="A841" s="13"/>
      <c r="B841" s="41"/>
      <c r="D841" s="12"/>
      <c r="E841" s="14"/>
      <c r="F841" s="14"/>
      <c r="M841" s="14"/>
      <c r="AL841" s="19"/>
      <c r="AM841" s="19"/>
      <c r="AN841" s="19"/>
    </row>
    <row r="842">
      <c r="A842" s="13"/>
      <c r="B842" s="41"/>
      <c r="D842" s="12"/>
      <c r="E842" s="14"/>
      <c r="F842" s="14"/>
      <c r="M842" s="14"/>
      <c r="AL842" s="19"/>
      <c r="AM842" s="19"/>
      <c r="AN842" s="19"/>
    </row>
    <row r="843">
      <c r="A843" s="13"/>
      <c r="B843" s="41"/>
      <c r="D843" s="12"/>
      <c r="E843" s="14"/>
      <c r="F843" s="14"/>
      <c r="M843" s="14"/>
      <c r="AL843" s="19"/>
      <c r="AM843" s="19"/>
      <c r="AN843" s="19"/>
    </row>
    <row r="844">
      <c r="A844" s="13"/>
      <c r="B844" s="41"/>
      <c r="D844" s="12"/>
      <c r="E844" s="14"/>
      <c r="F844" s="14"/>
      <c r="M844" s="14"/>
      <c r="AL844" s="19"/>
      <c r="AM844" s="19"/>
      <c r="AN844" s="19"/>
    </row>
    <row r="845">
      <c r="A845" s="13"/>
      <c r="B845" s="41"/>
      <c r="D845" s="12"/>
      <c r="E845" s="14"/>
      <c r="F845" s="14"/>
      <c r="M845" s="14"/>
      <c r="AL845" s="19"/>
      <c r="AM845" s="19"/>
      <c r="AN845" s="19"/>
    </row>
    <row r="846">
      <c r="A846" s="13"/>
      <c r="B846" s="41"/>
      <c r="D846" s="12"/>
      <c r="E846" s="14"/>
      <c r="F846" s="14"/>
      <c r="M846" s="14"/>
      <c r="AL846" s="19"/>
      <c r="AM846" s="19"/>
      <c r="AN846" s="19"/>
    </row>
    <row r="847">
      <c r="A847" s="13"/>
      <c r="B847" s="41"/>
      <c r="D847" s="12"/>
      <c r="E847" s="14"/>
      <c r="F847" s="14"/>
      <c r="M847" s="14"/>
      <c r="AL847" s="19"/>
      <c r="AM847" s="19"/>
      <c r="AN847" s="19"/>
    </row>
    <row r="848">
      <c r="A848" s="13"/>
      <c r="B848" s="41"/>
      <c r="D848" s="12"/>
      <c r="E848" s="14"/>
      <c r="F848" s="14"/>
      <c r="M848" s="14"/>
      <c r="AL848" s="19"/>
      <c r="AM848" s="19"/>
      <c r="AN848" s="19"/>
    </row>
    <row r="849">
      <c r="A849" s="13"/>
      <c r="B849" s="41"/>
      <c r="D849" s="12"/>
      <c r="E849" s="14"/>
      <c r="F849" s="14"/>
      <c r="M849" s="14"/>
      <c r="AL849" s="19"/>
      <c r="AM849" s="19"/>
      <c r="AN849" s="19"/>
    </row>
    <row r="850">
      <c r="A850" s="13"/>
      <c r="B850" s="41"/>
      <c r="D850" s="12"/>
      <c r="E850" s="14"/>
      <c r="F850" s="14"/>
      <c r="M850" s="14"/>
      <c r="AL850" s="19"/>
      <c r="AM850" s="19"/>
      <c r="AN850" s="19"/>
    </row>
    <row r="851">
      <c r="A851" s="13"/>
      <c r="B851" s="41"/>
      <c r="D851" s="12"/>
      <c r="E851" s="14"/>
      <c r="F851" s="14"/>
      <c r="M851" s="14"/>
      <c r="AL851" s="19"/>
      <c r="AM851" s="19"/>
      <c r="AN851" s="19"/>
    </row>
    <row r="852">
      <c r="A852" s="13"/>
      <c r="B852" s="41"/>
      <c r="D852" s="12"/>
      <c r="E852" s="14"/>
      <c r="F852" s="14"/>
      <c r="M852" s="14"/>
      <c r="AL852" s="19"/>
      <c r="AM852" s="19"/>
      <c r="AN852" s="19"/>
    </row>
    <row r="853">
      <c r="A853" s="13"/>
      <c r="B853" s="41"/>
      <c r="D853" s="12"/>
      <c r="E853" s="14"/>
      <c r="F853" s="14"/>
      <c r="M853" s="14"/>
      <c r="AL853" s="19"/>
      <c r="AM853" s="19"/>
      <c r="AN853" s="19"/>
    </row>
    <row r="854">
      <c r="A854" s="13"/>
      <c r="B854" s="41"/>
      <c r="D854" s="12"/>
      <c r="E854" s="14"/>
      <c r="F854" s="14"/>
      <c r="M854" s="14"/>
      <c r="AL854" s="19"/>
      <c r="AM854" s="19"/>
      <c r="AN854" s="19"/>
    </row>
    <row r="855">
      <c r="A855" s="13"/>
      <c r="B855" s="41"/>
      <c r="D855" s="12"/>
      <c r="E855" s="14"/>
      <c r="F855" s="14"/>
      <c r="M855" s="14"/>
      <c r="AL855" s="19"/>
      <c r="AM855" s="19"/>
      <c r="AN855" s="19"/>
    </row>
    <row r="856">
      <c r="A856" s="13"/>
      <c r="B856" s="41"/>
      <c r="D856" s="12"/>
      <c r="E856" s="14"/>
      <c r="F856" s="14"/>
      <c r="M856" s="14"/>
      <c r="AL856" s="19"/>
      <c r="AM856" s="19"/>
      <c r="AN856" s="19"/>
    </row>
    <row r="857">
      <c r="A857" s="13"/>
      <c r="B857" s="41"/>
      <c r="D857" s="12"/>
      <c r="E857" s="14"/>
      <c r="F857" s="14"/>
      <c r="M857" s="14"/>
      <c r="AL857" s="19"/>
      <c r="AM857" s="19"/>
      <c r="AN857" s="19"/>
    </row>
    <row r="858">
      <c r="A858" s="13"/>
      <c r="B858" s="41"/>
      <c r="D858" s="12"/>
      <c r="E858" s="14"/>
      <c r="F858" s="14"/>
      <c r="M858" s="14"/>
      <c r="AL858" s="19"/>
      <c r="AM858" s="19"/>
      <c r="AN858" s="19"/>
    </row>
    <row r="859">
      <c r="A859" s="13"/>
      <c r="B859" s="41"/>
      <c r="D859" s="12"/>
      <c r="E859" s="14"/>
      <c r="F859" s="14"/>
      <c r="M859" s="14"/>
      <c r="AL859" s="19"/>
      <c r="AM859" s="19"/>
      <c r="AN859" s="19"/>
    </row>
    <row r="860">
      <c r="A860" s="13"/>
      <c r="B860" s="41"/>
      <c r="D860" s="12"/>
      <c r="E860" s="14"/>
      <c r="F860" s="14"/>
      <c r="M860" s="14"/>
      <c r="AL860" s="19"/>
      <c r="AM860" s="19"/>
      <c r="AN860" s="19"/>
    </row>
    <row r="861">
      <c r="A861" s="13"/>
      <c r="B861" s="41"/>
      <c r="D861" s="12"/>
      <c r="E861" s="14"/>
      <c r="F861" s="14"/>
      <c r="M861" s="14"/>
      <c r="AL861" s="19"/>
      <c r="AM861" s="19"/>
      <c r="AN861" s="19"/>
    </row>
    <row r="862">
      <c r="A862" s="13"/>
      <c r="B862" s="41"/>
      <c r="D862" s="12"/>
      <c r="E862" s="14"/>
      <c r="F862" s="14"/>
      <c r="M862" s="14"/>
      <c r="AL862" s="19"/>
      <c r="AM862" s="19"/>
      <c r="AN862" s="19"/>
    </row>
    <row r="863">
      <c r="A863" s="13"/>
      <c r="B863" s="41"/>
      <c r="D863" s="12"/>
      <c r="E863" s="14"/>
      <c r="F863" s="14"/>
      <c r="M863" s="14"/>
      <c r="AL863" s="19"/>
      <c r="AM863" s="19"/>
      <c r="AN863" s="19"/>
    </row>
    <row r="864">
      <c r="A864" s="13"/>
      <c r="B864" s="41"/>
      <c r="D864" s="12"/>
      <c r="E864" s="14"/>
      <c r="F864" s="14"/>
      <c r="M864" s="14"/>
      <c r="AL864" s="19"/>
      <c r="AM864" s="19"/>
      <c r="AN864" s="19"/>
    </row>
    <row r="865">
      <c r="A865" s="13"/>
      <c r="B865" s="41"/>
      <c r="D865" s="12"/>
      <c r="E865" s="14"/>
      <c r="F865" s="14"/>
      <c r="M865" s="14"/>
      <c r="AL865" s="19"/>
      <c r="AM865" s="19"/>
      <c r="AN865" s="19"/>
    </row>
    <row r="866">
      <c r="A866" s="13"/>
      <c r="B866" s="41"/>
      <c r="D866" s="12"/>
      <c r="E866" s="14"/>
      <c r="F866" s="14"/>
      <c r="M866" s="14"/>
      <c r="AL866" s="19"/>
      <c r="AM866" s="19"/>
      <c r="AN866" s="19"/>
    </row>
    <row r="867">
      <c r="A867" s="13"/>
      <c r="B867" s="41"/>
      <c r="D867" s="12"/>
      <c r="E867" s="14"/>
      <c r="F867" s="14"/>
      <c r="M867" s="14"/>
      <c r="AL867" s="19"/>
      <c r="AM867" s="19"/>
      <c r="AN867" s="19"/>
    </row>
    <row r="868">
      <c r="A868" s="13"/>
      <c r="B868" s="41"/>
      <c r="D868" s="12"/>
      <c r="E868" s="14"/>
      <c r="F868" s="14"/>
      <c r="M868" s="14"/>
      <c r="AL868" s="19"/>
      <c r="AM868" s="19"/>
      <c r="AN868" s="19"/>
    </row>
    <row r="869">
      <c r="A869" s="13"/>
      <c r="B869" s="41"/>
      <c r="D869" s="12"/>
      <c r="E869" s="14"/>
      <c r="F869" s="14"/>
      <c r="M869" s="14"/>
      <c r="AL869" s="19"/>
      <c r="AM869" s="19"/>
      <c r="AN869" s="19"/>
    </row>
    <row r="870">
      <c r="A870" s="13"/>
      <c r="B870" s="41"/>
      <c r="D870" s="12"/>
      <c r="E870" s="14"/>
      <c r="F870" s="14"/>
      <c r="M870" s="14"/>
      <c r="AL870" s="19"/>
      <c r="AM870" s="19"/>
      <c r="AN870" s="19"/>
    </row>
    <row r="871">
      <c r="A871" s="13"/>
      <c r="B871" s="41"/>
      <c r="D871" s="12"/>
      <c r="E871" s="14"/>
      <c r="F871" s="14"/>
      <c r="M871" s="14"/>
      <c r="AL871" s="19"/>
      <c r="AM871" s="19"/>
      <c r="AN871" s="19"/>
    </row>
    <row r="872">
      <c r="A872" s="13"/>
      <c r="B872" s="41"/>
      <c r="D872" s="12"/>
      <c r="E872" s="14"/>
      <c r="F872" s="14"/>
      <c r="M872" s="14"/>
      <c r="AL872" s="19"/>
      <c r="AM872" s="19"/>
      <c r="AN872" s="19"/>
    </row>
    <row r="873">
      <c r="A873" s="13"/>
      <c r="B873" s="41"/>
      <c r="D873" s="12"/>
      <c r="E873" s="14"/>
      <c r="F873" s="14"/>
      <c r="M873" s="14"/>
      <c r="AL873" s="19"/>
      <c r="AM873" s="19"/>
      <c r="AN873" s="19"/>
    </row>
    <row r="874">
      <c r="A874" s="13"/>
      <c r="B874" s="41"/>
      <c r="D874" s="12"/>
      <c r="E874" s="14"/>
      <c r="F874" s="14"/>
      <c r="M874" s="14"/>
      <c r="AL874" s="19"/>
      <c r="AM874" s="19"/>
      <c r="AN874" s="19"/>
    </row>
    <row r="875">
      <c r="A875" s="13"/>
      <c r="B875" s="41"/>
      <c r="D875" s="12"/>
      <c r="E875" s="14"/>
      <c r="F875" s="14"/>
      <c r="M875" s="14"/>
      <c r="AL875" s="19"/>
      <c r="AM875" s="19"/>
      <c r="AN875" s="19"/>
    </row>
    <row r="876">
      <c r="A876" s="13"/>
      <c r="B876" s="41"/>
      <c r="D876" s="12"/>
      <c r="E876" s="14"/>
      <c r="F876" s="14"/>
      <c r="M876" s="14"/>
      <c r="AL876" s="19"/>
      <c r="AM876" s="19"/>
      <c r="AN876" s="19"/>
    </row>
    <row r="877">
      <c r="A877" s="13"/>
      <c r="B877" s="41"/>
      <c r="D877" s="12"/>
      <c r="E877" s="14"/>
      <c r="F877" s="14"/>
      <c r="M877" s="14"/>
      <c r="AL877" s="19"/>
      <c r="AM877" s="19"/>
      <c r="AN877" s="19"/>
    </row>
    <row r="878">
      <c r="A878" s="13"/>
      <c r="B878" s="41"/>
      <c r="D878" s="12"/>
      <c r="E878" s="14"/>
      <c r="F878" s="14"/>
      <c r="M878" s="14"/>
      <c r="AL878" s="19"/>
      <c r="AM878" s="19"/>
      <c r="AN878" s="19"/>
    </row>
    <row r="879">
      <c r="A879" s="13"/>
      <c r="B879" s="41"/>
      <c r="D879" s="12"/>
      <c r="E879" s="14"/>
      <c r="F879" s="14"/>
      <c r="M879" s="14"/>
      <c r="AL879" s="19"/>
      <c r="AM879" s="19"/>
      <c r="AN879" s="19"/>
    </row>
    <row r="880">
      <c r="A880" s="13"/>
      <c r="B880" s="41"/>
      <c r="D880" s="12"/>
      <c r="E880" s="14"/>
      <c r="F880" s="14"/>
      <c r="M880" s="14"/>
      <c r="AL880" s="19"/>
      <c r="AM880" s="19"/>
      <c r="AN880" s="19"/>
    </row>
    <row r="881">
      <c r="A881" s="13"/>
      <c r="B881" s="41"/>
      <c r="D881" s="12"/>
      <c r="E881" s="14"/>
      <c r="F881" s="14"/>
      <c r="M881" s="14"/>
      <c r="AL881" s="19"/>
      <c r="AM881" s="19"/>
      <c r="AN881" s="19"/>
    </row>
    <row r="882">
      <c r="A882" s="13"/>
      <c r="B882" s="41"/>
      <c r="D882" s="12"/>
      <c r="E882" s="14"/>
      <c r="F882" s="14"/>
      <c r="M882" s="14"/>
      <c r="AL882" s="19"/>
      <c r="AM882" s="19"/>
      <c r="AN882" s="19"/>
    </row>
    <row r="883">
      <c r="A883" s="13"/>
      <c r="B883" s="41"/>
      <c r="D883" s="12"/>
      <c r="E883" s="14"/>
      <c r="F883" s="14"/>
      <c r="M883" s="14"/>
      <c r="AL883" s="19"/>
      <c r="AM883" s="19"/>
      <c r="AN883" s="19"/>
    </row>
    <row r="884">
      <c r="A884" s="13"/>
      <c r="B884" s="41"/>
      <c r="D884" s="12"/>
      <c r="E884" s="14"/>
      <c r="F884" s="14"/>
      <c r="M884" s="14"/>
      <c r="AL884" s="19"/>
      <c r="AM884" s="19"/>
      <c r="AN884" s="19"/>
    </row>
    <row r="885">
      <c r="A885" s="13"/>
      <c r="B885" s="41"/>
      <c r="D885" s="12"/>
      <c r="E885" s="14"/>
      <c r="F885" s="14"/>
      <c r="M885" s="14"/>
      <c r="AL885" s="19"/>
      <c r="AM885" s="19"/>
      <c r="AN885" s="19"/>
    </row>
    <row r="886">
      <c r="A886" s="13"/>
      <c r="B886" s="41"/>
      <c r="D886" s="12"/>
      <c r="E886" s="14"/>
      <c r="F886" s="14"/>
      <c r="M886" s="14"/>
      <c r="AL886" s="19"/>
      <c r="AM886" s="19"/>
      <c r="AN886" s="19"/>
    </row>
    <row r="887">
      <c r="A887" s="13"/>
      <c r="B887" s="41"/>
      <c r="D887" s="12"/>
      <c r="E887" s="14"/>
      <c r="F887" s="14"/>
      <c r="M887" s="14"/>
      <c r="AL887" s="19"/>
      <c r="AM887" s="19"/>
      <c r="AN887" s="19"/>
    </row>
    <row r="888">
      <c r="A888" s="13"/>
      <c r="B888" s="41"/>
      <c r="D888" s="12"/>
      <c r="E888" s="14"/>
      <c r="F888" s="14"/>
      <c r="M888" s="14"/>
      <c r="AL888" s="19"/>
      <c r="AM888" s="19"/>
      <c r="AN888" s="19"/>
    </row>
    <row r="889">
      <c r="A889" s="13"/>
      <c r="B889" s="41"/>
      <c r="D889" s="12"/>
      <c r="E889" s="14"/>
      <c r="F889" s="14"/>
      <c r="M889" s="14"/>
      <c r="AL889" s="19"/>
      <c r="AM889" s="19"/>
      <c r="AN889" s="19"/>
    </row>
    <row r="890">
      <c r="A890" s="13"/>
      <c r="B890" s="41"/>
      <c r="D890" s="12"/>
      <c r="E890" s="14"/>
      <c r="F890" s="14"/>
      <c r="M890" s="14"/>
      <c r="AL890" s="19"/>
      <c r="AM890" s="19"/>
      <c r="AN890" s="19"/>
    </row>
    <row r="891">
      <c r="A891" s="13"/>
      <c r="B891" s="41"/>
      <c r="D891" s="12"/>
      <c r="E891" s="14"/>
      <c r="F891" s="14"/>
      <c r="M891" s="14"/>
      <c r="AL891" s="19"/>
      <c r="AM891" s="19"/>
      <c r="AN891" s="19"/>
    </row>
    <row r="892">
      <c r="A892" s="13"/>
      <c r="B892" s="41"/>
      <c r="D892" s="12"/>
      <c r="E892" s="14"/>
      <c r="F892" s="14"/>
      <c r="M892" s="14"/>
      <c r="AL892" s="19"/>
      <c r="AM892" s="19"/>
      <c r="AN892" s="19"/>
    </row>
    <row r="893">
      <c r="A893" s="13"/>
      <c r="B893" s="41"/>
      <c r="D893" s="12"/>
      <c r="E893" s="14"/>
      <c r="F893" s="14"/>
      <c r="M893" s="14"/>
      <c r="AL893" s="19"/>
      <c r="AM893" s="19"/>
      <c r="AN893" s="19"/>
    </row>
    <row r="894">
      <c r="A894" s="13"/>
      <c r="B894" s="41"/>
      <c r="D894" s="12"/>
      <c r="E894" s="14"/>
      <c r="F894" s="14"/>
      <c r="M894" s="14"/>
      <c r="AL894" s="19"/>
      <c r="AM894" s="19"/>
      <c r="AN894" s="19"/>
    </row>
    <row r="895">
      <c r="A895" s="13"/>
      <c r="B895" s="41"/>
      <c r="D895" s="12"/>
      <c r="E895" s="14"/>
      <c r="F895" s="14"/>
      <c r="M895" s="14"/>
      <c r="AL895" s="19"/>
      <c r="AM895" s="19"/>
      <c r="AN895" s="19"/>
    </row>
    <row r="896">
      <c r="A896" s="13"/>
      <c r="B896" s="41"/>
      <c r="D896" s="12"/>
      <c r="E896" s="14"/>
      <c r="F896" s="14"/>
      <c r="M896" s="14"/>
      <c r="AL896" s="19"/>
      <c r="AM896" s="19"/>
      <c r="AN896" s="19"/>
    </row>
    <row r="897">
      <c r="A897" s="13"/>
      <c r="B897" s="41"/>
      <c r="D897" s="12"/>
      <c r="E897" s="14"/>
      <c r="F897" s="14"/>
      <c r="M897" s="14"/>
      <c r="AL897" s="19"/>
      <c r="AM897" s="19"/>
      <c r="AN897" s="19"/>
    </row>
    <row r="898">
      <c r="A898" s="13"/>
      <c r="B898" s="41"/>
      <c r="D898" s="12"/>
      <c r="E898" s="14"/>
      <c r="F898" s="14"/>
      <c r="M898" s="14"/>
      <c r="AL898" s="19"/>
      <c r="AM898" s="19"/>
      <c r="AN898" s="19"/>
    </row>
    <row r="899">
      <c r="A899" s="13"/>
      <c r="B899" s="41"/>
      <c r="D899" s="12"/>
      <c r="E899" s="14"/>
      <c r="F899" s="14"/>
      <c r="M899" s="14"/>
      <c r="AL899" s="19"/>
      <c r="AM899" s="19"/>
      <c r="AN899" s="19"/>
    </row>
    <row r="900">
      <c r="A900" s="13"/>
      <c r="B900" s="41"/>
      <c r="D900" s="12"/>
      <c r="E900" s="14"/>
      <c r="F900" s="14"/>
      <c r="M900" s="14"/>
      <c r="AL900" s="19"/>
      <c r="AM900" s="19"/>
      <c r="AN900" s="19"/>
    </row>
    <row r="901">
      <c r="A901" s="13"/>
      <c r="B901" s="41"/>
      <c r="D901" s="12"/>
      <c r="E901" s="14"/>
      <c r="F901" s="14"/>
      <c r="M901" s="14"/>
      <c r="AL901" s="19"/>
      <c r="AM901" s="19"/>
      <c r="AN901" s="19"/>
    </row>
    <row r="902">
      <c r="A902" s="13"/>
      <c r="B902" s="41"/>
      <c r="D902" s="12"/>
      <c r="E902" s="14"/>
      <c r="F902" s="14"/>
      <c r="M902" s="14"/>
      <c r="AL902" s="19"/>
      <c r="AM902" s="19"/>
      <c r="AN902" s="19"/>
    </row>
    <row r="903">
      <c r="A903" s="13"/>
      <c r="B903" s="41"/>
      <c r="D903" s="12"/>
      <c r="E903" s="14"/>
      <c r="F903" s="14"/>
      <c r="M903" s="14"/>
      <c r="AL903" s="19"/>
      <c r="AM903" s="19"/>
      <c r="AN903" s="19"/>
    </row>
    <row r="904">
      <c r="A904" s="13"/>
      <c r="B904" s="41"/>
      <c r="D904" s="12"/>
      <c r="E904" s="14"/>
      <c r="F904" s="14"/>
      <c r="M904" s="14"/>
      <c r="AL904" s="19"/>
      <c r="AM904" s="19"/>
      <c r="AN904" s="19"/>
    </row>
    <row r="905">
      <c r="A905" s="13"/>
      <c r="B905" s="41"/>
      <c r="D905" s="12"/>
      <c r="E905" s="14"/>
      <c r="F905" s="14"/>
      <c r="M905" s="14"/>
      <c r="AL905" s="19"/>
      <c r="AM905" s="19"/>
      <c r="AN905" s="19"/>
    </row>
    <row r="906">
      <c r="A906" s="13"/>
      <c r="B906" s="41"/>
      <c r="D906" s="12"/>
      <c r="E906" s="14"/>
      <c r="F906" s="14"/>
      <c r="M906" s="14"/>
      <c r="AL906" s="19"/>
      <c r="AM906" s="19"/>
      <c r="AN906" s="19"/>
    </row>
    <row r="907">
      <c r="A907" s="13"/>
      <c r="B907" s="41"/>
      <c r="D907" s="12"/>
      <c r="E907" s="14"/>
      <c r="F907" s="14"/>
      <c r="M907" s="14"/>
      <c r="AL907" s="19"/>
      <c r="AM907" s="19"/>
      <c r="AN907" s="19"/>
    </row>
    <row r="908">
      <c r="A908" s="13"/>
      <c r="B908" s="41"/>
      <c r="D908" s="12"/>
      <c r="E908" s="14"/>
      <c r="F908" s="14"/>
      <c r="M908" s="14"/>
      <c r="AL908" s="19"/>
      <c r="AM908" s="19"/>
      <c r="AN908" s="19"/>
    </row>
    <row r="909">
      <c r="A909" s="13"/>
      <c r="B909" s="41"/>
      <c r="D909" s="12"/>
      <c r="E909" s="14"/>
      <c r="F909" s="14"/>
      <c r="M909" s="14"/>
      <c r="AL909" s="19"/>
      <c r="AM909" s="19"/>
      <c r="AN909" s="19"/>
    </row>
    <row r="910">
      <c r="A910" s="13"/>
      <c r="B910" s="41"/>
      <c r="D910" s="12"/>
      <c r="E910" s="14"/>
      <c r="F910" s="14"/>
      <c r="M910" s="14"/>
      <c r="AL910" s="19"/>
      <c r="AM910" s="19"/>
      <c r="AN910" s="19"/>
    </row>
    <row r="911">
      <c r="A911" s="13"/>
      <c r="B911" s="41"/>
      <c r="D911" s="12"/>
      <c r="E911" s="14"/>
      <c r="F911" s="14"/>
      <c r="M911" s="14"/>
      <c r="AL911" s="19"/>
      <c r="AM911" s="19"/>
      <c r="AN911" s="19"/>
    </row>
    <row r="912">
      <c r="A912" s="13"/>
      <c r="B912" s="41"/>
      <c r="D912" s="12"/>
      <c r="E912" s="14"/>
      <c r="F912" s="14"/>
      <c r="M912" s="14"/>
      <c r="AL912" s="19"/>
      <c r="AM912" s="19"/>
      <c r="AN912" s="19"/>
    </row>
    <row r="913">
      <c r="A913" s="13"/>
      <c r="B913" s="41"/>
      <c r="D913" s="12"/>
      <c r="E913" s="14"/>
      <c r="F913" s="14"/>
      <c r="M913" s="14"/>
      <c r="AL913" s="19"/>
      <c r="AM913" s="19"/>
      <c r="AN913" s="19"/>
    </row>
    <row r="914">
      <c r="A914" s="13"/>
      <c r="B914" s="41"/>
      <c r="D914" s="12"/>
      <c r="E914" s="14"/>
      <c r="F914" s="14"/>
      <c r="M914" s="14"/>
      <c r="AL914" s="19"/>
      <c r="AM914" s="19"/>
      <c r="AN914" s="19"/>
    </row>
    <row r="915">
      <c r="A915" s="13"/>
      <c r="B915" s="41"/>
      <c r="D915" s="12"/>
      <c r="E915" s="14"/>
      <c r="F915" s="14"/>
      <c r="M915" s="14"/>
      <c r="AL915" s="19"/>
      <c r="AM915" s="19"/>
      <c r="AN915" s="19"/>
    </row>
    <row r="916">
      <c r="A916" s="13"/>
      <c r="B916" s="41"/>
      <c r="D916" s="12"/>
      <c r="E916" s="14"/>
      <c r="F916" s="14"/>
      <c r="M916" s="14"/>
      <c r="AL916" s="19"/>
      <c r="AM916" s="19"/>
      <c r="AN916" s="19"/>
    </row>
    <row r="917">
      <c r="A917" s="13"/>
      <c r="B917" s="41"/>
      <c r="D917" s="12"/>
      <c r="E917" s="14"/>
      <c r="F917" s="14"/>
      <c r="M917" s="14"/>
      <c r="AL917" s="19"/>
      <c r="AM917" s="19"/>
      <c r="AN917" s="19"/>
    </row>
    <row r="918">
      <c r="A918" s="13"/>
      <c r="B918" s="41"/>
      <c r="D918" s="12"/>
      <c r="E918" s="14"/>
      <c r="F918" s="14"/>
      <c r="M918" s="14"/>
      <c r="AL918" s="19"/>
      <c r="AM918" s="19"/>
      <c r="AN918" s="19"/>
    </row>
    <row r="919">
      <c r="A919" s="13"/>
      <c r="B919" s="41"/>
      <c r="D919" s="12"/>
      <c r="E919" s="14"/>
      <c r="F919" s="14"/>
      <c r="M919" s="14"/>
      <c r="AL919" s="19"/>
      <c r="AM919" s="19"/>
      <c r="AN919" s="19"/>
    </row>
    <row r="920">
      <c r="A920" s="13"/>
      <c r="B920" s="41"/>
      <c r="D920" s="12"/>
      <c r="E920" s="14"/>
      <c r="F920" s="14"/>
      <c r="M920" s="14"/>
      <c r="AL920" s="19"/>
      <c r="AM920" s="19"/>
      <c r="AN920" s="19"/>
    </row>
    <row r="921">
      <c r="A921" s="13"/>
      <c r="B921" s="41"/>
      <c r="D921" s="12"/>
      <c r="E921" s="14"/>
      <c r="F921" s="14"/>
      <c r="M921" s="14"/>
      <c r="AL921" s="19"/>
      <c r="AM921" s="19"/>
      <c r="AN921" s="19"/>
    </row>
    <row r="922">
      <c r="A922" s="13"/>
      <c r="B922" s="41"/>
      <c r="D922" s="12"/>
      <c r="E922" s="14"/>
      <c r="F922" s="14"/>
      <c r="M922" s="14"/>
      <c r="AL922" s="19"/>
      <c r="AM922" s="19"/>
      <c r="AN922" s="19"/>
    </row>
    <row r="923">
      <c r="A923" s="13"/>
      <c r="B923" s="41"/>
      <c r="D923" s="12"/>
      <c r="E923" s="14"/>
      <c r="F923" s="14"/>
      <c r="M923" s="14"/>
      <c r="AL923" s="19"/>
      <c r="AM923" s="19"/>
      <c r="AN923" s="19"/>
    </row>
    <row r="924">
      <c r="A924" s="13"/>
      <c r="B924" s="41"/>
      <c r="D924" s="12"/>
      <c r="E924" s="14"/>
      <c r="F924" s="14"/>
      <c r="M924" s="14"/>
      <c r="AL924" s="19"/>
      <c r="AM924" s="19"/>
      <c r="AN924" s="19"/>
    </row>
    <row r="925">
      <c r="A925" s="13"/>
      <c r="B925" s="41"/>
      <c r="D925" s="12"/>
      <c r="E925" s="14"/>
      <c r="F925" s="14"/>
      <c r="M925" s="14"/>
      <c r="AL925" s="19"/>
      <c r="AM925" s="19"/>
      <c r="AN925" s="19"/>
    </row>
    <row r="926">
      <c r="A926" s="13"/>
      <c r="B926" s="41"/>
      <c r="D926" s="12"/>
      <c r="E926" s="14"/>
      <c r="F926" s="14"/>
      <c r="M926" s="14"/>
      <c r="AL926" s="19"/>
      <c r="AM926" s="19"/>
      <c r="AN926" s="19"/>
    </row>
    <row r="927">
      <c r="A927" s="13"/>
      <c r="B927" s="41"/>
      <c r="D927" s="12"/>
      <c r="E927" s="14"/>
      <c r="F927" s="14"/>
      <c r="M927" s="14"/>
      <c r="AL927" s="19"/>
      <c r="AM927" s="19"/>
      <c r="AN927" s="19"/>
    </row>
    <row r="928">
      <c r="A928" s="13"/>
      <c r="B928" s="41"/>
      <c r="D928" s="12"/>
      <c r="E928" s="14"/>
      <c r="F928" s="14"/>
      <c r="M928" s="14"/>
      <c r="AL928" s="19"/>
      <c r="AM928" s="19"/>
      <c r="AN928" s="19"/>
    </row>
    <row r="929">
      <c r="A929" s="13"/>
      <c r="B929" s="41"/>
      <c r="D929" s="12"/>
      <c r="E929" s="14"/>
      <c r="F929" s="14"/>
      <c r="M929" s="14"/>
      <c r="AL929" s="19"/>
      <c r="AM929" s="19"/>
      <c r="AN929" s="19"/>
    </row>
    <row r="930">
      <c r="A930" s="13"/>
      <c r="B930" s="41"/>
      <c r="D930" s="12"/>
      <c r="E930" s="14"/>
      <c r="F930" s="14"/>
      <c r="M930" s="14"/>
      <c r="AL930" s="19"/>
      <c r="AM930" s="19"/>
      <c r="AN930" s="19"/>
    </row>
    <row r="931">
      <c r="A931" s="13"/>
      <c r="B931" s="41"/>
      <c r="D931" s="12"/>
      <c r="E931" s="14"/>
      <c r="F931" s="14"/>
      <c r="M931" s="14"/>
      <c r="AL931" s="19"/>
      <c r="AM931" s="19"/>
      <c r="AN931" s="19"/>
    </row>
    <row r="932">
      <c r="A932" s="13"/>
      <c r="B932" s="41"/>
      <c r="D932" s="12"/>
      <c r="E932" s="14"/>
      <c r="F932" s="14"/>
      <c r="M932" s="14"/>
      <c r="AL932" s="19"/>
      <c r="AM932" s="19"/>
      <c r="AN932" s="19"/>
    </row>
    <row r="933">
      <c r="A933" s="13"/>
      <c r="B933" s="41"/>
      <c r="D933" s="12"/>
      <c r="E933" s="14"/>
      <c r="F933" s="14"/>
      <c r="M933" s="14"/>
      <c r="AL933" s="19"/>
      <c r="AM933" s="19"/>
      <c r="AN933" s="19"/>
    </row>
    <row r="934">
      <c r="A934" s="13"/>
      <c r="B934" s="41"/>
      <c r="D934" s="12"/>
      <c r="E934" s="14"/>
      <c r="F934" s="14"/>
      <c r="M934" s="14"/>
      <c r="AL934" s="19"/>
      <c r="AM934" s="19"/>
      <c r="AN934" s="19"/>
    </row>
    <row r="935">
      <c r="A935" s="13"/>
      <c r="B935" s="41"/>
      <c r="D935" s="12"/>
      <c r="E935" s="14"/>
      <c r="F935" s="14"/>
      <c r="M935" s="14"/>
      <c r="AL935" s="19"/>
      <c r="AM935" s="19"/>
      <c r="AN935" s="19"/>
    </row>
    <row r="936">
      <c r="A936" s="13"/>
      <c r="B936" s="41"/>
      <c r="D936" s="12"/>
      <c r="E936" s="14"/>
      <c r="F936" s="14"/>
      <c r="M936" s="14"/>
      <c r="AL936" s="19"/>
      <c r="AM936" s="19"/>
      <c r="AN936" s="19"/>
    </row>
    <row r="937">
      <c r="A937" s="13"/>
      <c r="B937" s="41"/>
      <c r="D937" s="12"/>
      <c r="E937" s="14"/>
      <c r="F937" s="14"/>
      <c r="M937" s="14"/>
      <c r="AL937" s="19"/>
      <c r="AM937" s="19"/>
      <c r="AN937" s="19"/>
    </row>
    <row r="938">
      <c r="A938" s="13"/>
      <c r="B938" s="41"/>
      <c r="D938" s="12"/>
      <c r="E938" s="14"/>
      <c r="F938" s="14"/>
      <c r="M938" s="14"/>
      <c r="AL938" s="19"/>
      <c r="AM938" s="19"/>
      <c r="AN938" s="19"/>
    </row>
    <row r="939">
      <c r="A939" s="13"/>
      <c r="B939" s="41"/>
      <c r="D939" s="12"/>
      <c r="E939" s="14"/>
      <c r="F939" s="14"/>
      <c r="M939" s="14"/>
      <c r="AL939" s="19"/>
      <c r="AM939" s="19"/>
      <c r="AN939" s="19"/>
    </row>
    <row r="940">
      <c r="A940" s="13"/>
      <c r="B940" s="41"/>
      <c r="D940" s="12"/>
      <c r="E940" s="14"/>
      <c r="F940" s="14"/>
      <c r="M940" s="14"/>
      <c r="AL940" s="19"/>
      <c r="AM940" s="19"/>
      <c r="AN940" s="19"/>
    </row>
    <row r="941">
      <c r="A941" s="13"/>
      <c r="B941" s="41"/>
      <c r="D941" s="12"/>
      <c r="E941" s="14"/>
      <c r="F941" s="14"/>
      <c r="M941" s="14"/>
      <c r="AL941" s="19"/>
      <c r="AM941" s="19"/>
      <c r="AN941" s="19"/>
    </row>
    <row r="942">
      <c r="A942" s="13"/>
      <c r="B942" s="41"/>
      <c r="D942" s="12"/>
      <c r="E942" s="14"/>
      <c r="F942" s="14"/>
      <c r="M942" s="14"/>
      <c r="AL942" s="19"/>
      <c r="AM942" s="19"/>
      <c r="AN942" s="19"/>
    </row>
    <row r="943">
      <c r="A943" s="13"/>
      <c r="B943" s="41"/>
      <c r="D943" s="12"/>
      <c r="E943" s="14"/>
      <c r="F943" s="14"/>
      <c r="M943" s="14"/>
      <c r="AL943" s="19"/>
      <c r="AM943" s="19"/>
      <c r="AN943" s="19"/>
    </row>
    <row r="944">
      <c r="A944" s="13"/>
      <c r="B944" s="41"/>
      <c r="D944" s="12"/>
      <c r="E944" s="14"/>
      <c r="F944" s="14"/>
      <c r="M944" s="14"/>
      <c r="AL944" s="19"/>
      <c r="AM944" s="19"/>
      <c r="AN944" s="19"/>
    </row>
    <row r="945">
      <c r="A945" s="13"/>
      <c r="B945" s="41"/>
      <c r="D945" s="12"/>
      <c r="E945" s="14"/>
      <c r="F945" s="14"/>
      <c r="M945" s="14"/>
      <c r="AL945" s="19"/>
      <c r="AM945" s="19"/>
      <c r="AN945" s="19"/>
    </row>
    <row r="946">
      <c r="A946" s="13"/>
      <c r="B946" s="41"/>
      <c r="D946" s="12"/>
      <c r="E946" s="14"/>
      <c r="F946" s="14"/>
      <c r="M946" s="14"/>
      <c r="AL946" s="19"/>
      <c r="AM946" s="19"/>
      <c r="AN946" s="19"/>
    </row>
    <row r="947">
      <c r="A947" s="13"/>
      <c r="B947" s="41"/>
      <c r="D947" s="12"/>
      <c r="E947" s="14"/>
      <c r="F947" s="14"/>
      <c r="M947" s="14"/>
      <c r="AL947" s="19"/>
      <c r="AM947" s="19"/>
      <c r="AN947" s="19"/>
    </row>
    <row r="948">
      <c r="A948" s="13"/>
      <c r="B948" s="41"/>
      <c r="D948" s="12"/>
      <c r="E948" s="14"/>
      <c r="F948" s="14"/>
      <c r="M948" s="14"/>
      <c r="AL948" s="19"/>
      <c r="AM948" s="19"/>
      <c r="AN948" s="19"/>
    </row>
    <row r="949">
      <c r="A949" s="13"/>
      <c r="B949" s="41"/>
      <c r="D949" s="12"/>
      <c r="E949" s="14"/>
      <c r="F949" s="14"/>
      <c r="M949" s="14"/>
      <c r="AL949" s="19"/>
      <c r="AM949" s="19"/>
      <c r="AN949" s="19"/>
    </row>
    <row r="950">
      <c r="A950" s="13"/>
      <c r="B950" s="41"/>
      <c r="D950" s="12"/>
      <c r="E950" s="14"/>
      <c r="F950" s="14"/>
      <c r="M950" s="14"/>
      <c r="AL950" s="19"/>
      <c r="AM950" s="19"/>
      <c r="AN950" s="19"/>
    </row>
    <row r="951">
      <c r="A951" s="13"/>
      <c r="B951" s="41"/>
      <c r="D951" s="12"/>
      <c r="E951" s="14"/>
      <c r="F951" s="14"/>
      <c r="M951" s="14"/>
      <c r="AL951" s="19"/>
      <c r="AM951" s="19"/>
      <c r="AN951" s="19"/>
    </row>
    <row r="952">
      <c r="A952" s="13"/>
      <c r="B952" s="41"/>
      <c r="D952" s="12"/>
      <c r="E952" s="14"/>
      <c r="F952" s="14"/>
      <c r="M952" s="14"/>
      <c r="AL952" s="19"/>
      <c r="AM952" s="19"/>
      <c r="AN952" s="19"/>
    </row>
    <row r="953">
      <c r="A953" s="13"/>
      <c r="B953" s="41"/>
      <c r="D953" s="12"/>
      <c r="E953" s="14"/>
      <c r="F953" s="14"/>
      <c r="M953" s="14"/>
      <c r="AL953" s="19"/>
      <c r="AM953" s="19"/>
      <c r="AN953" s="19"/>
    </row>
    <row r="954">
      <c r="A954" s="13"/>
      <c r="B954" s="41"/>
      <c r="D954" s="12"/>
      <c r="E954" s="14"/>
      <c r="F954" s="14"/>
      <c r="M954" s="14"/>
      <c r="AL954" s="19"/>
      <c r="AM954" s="19"/>
      <c r="AN954" s="19"/>
    </row>
    <row r="955">
      <c r="A955" s="13"/>
      <c r="B955" s="41"/>
      <c r="D955" s="12"/>
      <c r="E955" s="14"/>
      <c r="F955" s="14"/>
      <c r="M955" s="14"/>
      <c r="AL955" s="19"/>
      <c r="AM955" s="19"/>
      <c r="AN955" s="19"/>
    </row>
    <row r="956">
      <c r="A956" s="13"/>
      <c r="B956" s="41"/>
      <c r="D956" s="12"/>
      <c r="E956" s="14"/>
      <c r="F956" s="14"/>
      <c r="M956" s="14"/>
      <c r="AL956" s="19"/>
      <c r="AM956" s="19"/>
      <c r="AN956" s="19"/>
    </row>
    <row r="957">
      <c r="A957" s="13"/>
      <c r="B957" s="41"/>
      <c r="D957" s="12"/>
      <c r="E957" s="14"/>
      <c r="F957" s="14"/>
      <c r="M957" s="14"/>
      <c r="AL957" s="19"/>
      <c r="AM957" s="19"/>
      <c r="AN957" s="19"/>
    </row>
    <row r="958">
      <c r="A958" s="13"/>
      <c r="B958" s="41"/>
      <c r="D958" s="12"/>
      <c r="E958" s="14"/>
      <c r="F958" s="14"/>
      <c r="M958" s="14"/>
      <c r="AL958" s="19"/>
      <c r="AM958" s="19"/>
      <c r="AN958" s="19"/>
    </row>
    <row r="959">
      <c r="A959" s="13"/>
      <c r="B959" s="41"/>
      <c r="D959" s="12"/>
      <c r="E959" s="14"/>
      <c r="F959" s="14"/>
      <c r="M959" s="14"/>
      <c r="AL959" s="19"/>
      <c r="AM959" s="19"/>
      <c r="AN959" s="19"/>
    </row>
    <row r="960">
      <c r="A960" s="13"/>
      <c r="B960" s="41"/>
      <c r="D960" s="12"/>
      <c r="E960" s="14"/>
      <c r="F960" s="14"/>
      <c r="M960" s="14"/>
      <c r="AL960" s="19"/>
      <c r="AM960" s="19"/>
      <c r="AN960" s="19"/>
    </row>
    <row r="961">
      <c r="A961" s="13"/>
      <c r="B961" s="41"/>
      <c r="D961" s="12"/>
      <c r="E961" s="14"/>
      <c r="F961" s="14"/>
      <c r="M961" s="14"/>
      <c r="AL961" s="19"/>
      <c r="AM961" s="19"/>
      <c r="AN961" s="19"/>
    </row>
    <row r="962">
      <c r="A962" s="13"/>
      <c r="B962" s="41"/>
      <c r="D962" s="12"/>
      <c r="E962" s="14"/>
      <c r="F962" s="14"/>
      <c r="M962" s="14"/>
      <c r="AL962" s="19"/>
      <c r="AM962" s="19"/>
      <c r="AN962" s="19"/>
    </row>
    <row r="963">
      <c r="A963" s="13"/>
      <c r="B963" s="41"/>
      <c r="D963" s="12"/>
      <c r="E963" s="14"/>
      <c r="F963" s="14"/>
      <c r="M963" s="14"/>
      <c r="AL963" s="19"/>
      <c r="AM963" s="19"/>
      <c r="AN963" s="19"/>
    </row>
    <row r="964">
      <c r="A964" s="13"/>
      <c r="B964" s="41"/>
      <c r="D964" s="12"/>
      <c r="E964" s="14"/>
      <c r="F964" s="14"/>
      <c r="M964" s="14"/>
      <c r="AL964" s="19"/>
      <c r="AM964" s="19"/>
      <c r="AN964" s="19"/>
    </row>
    <row r="965">
      <c r="A965" s="13"/>
      <c r="B965" s="41"/>
      <c r="D965" s="12"/>
      <c r="E965" s="14"/>
      <c r="F965" s="14"/>
      <c r="M965" s="14"/>
      <c r="AL965" s="19"/>
      <c r="AM965" s="19"/>
      <c r="AN965" s="19"/>
    </row>
    <row r="966">
      <c r="A966" s="13"/>
      <c r="B966" s="41"/>
      <c r="D966" s="12"/>
      <c r="E966" s="14"/>
      <c r="F966" s="14"/>
      <c r="M966" s="14"/>
      <c r="AL966" s="19"/>
      <c r="AM966" s="19"/>
      <c r="AN966" s="19"/>
    </row>
    <row r="967">
      <c r="A967" s="13"/>
      <c r="B967" s="41"/>
      <c r="D967" s="12"/>
      <c r="E967" s="14"/>
      <c r="F967" s="14"/>
      <c r="M967" s="14"/>
      <c r="AL967" s="19"/>
      <c r="AM967" s="19"/>
      <c r="AN967" s="19"/>
    </row>
    <row r="968">
      <c r="A968" s="13"/>
      <c r="B968" s="41"/>
      <c r="D968" s="12"/>
      <c r="E968" s="14"/>
      <c r="F968" s="14"/>
      <c r="M968" s="14"/>
      <c r="AL968" s="19"/>
      <c r="AM968" s="19"/>
      <c r="AN968" s="19"/>
    </row>
    <row r="969">
      <c r="A969" s="13"/>
      <c r="B969" s="41"/>
      <c r="D969" s="12"/>
      <c r="E969" s="14"/>
      <c r="F969" s="14"/>
      <c r="M969" s="14"/>
      <c r="AL969" s="19"/>
      <c r="AM969" s="19"/>
      <c r="AN969" s="19"/>
    </row>
    <row r="970">
      <c r="A970" s="13"/>
      <c r="B970" s="41"/>
      <c r="D970" s="12"/>
      <c r="E970" s="14"/>
      <c r="F970" s="14"/>
      <c r="M970" s="14"/>
      <c r="AL970" s="19"/>
      <c r="AM970" s="19"/>
      <c r="AN970" s="19"/>
    </row>
    <row r="971">
      <c r="A971" s="13"/>
      <c r="B971" s="41"/>
      <c r="D971" s="12"/>
      <c r="E971" s="14"/>
      <c r="F971" s="14"/>
      <c r="M971" s="14"/>
      <c r="AL971" s="19"/>
      <c r="AM971" s="19"/>
      <c r="AN971" s="19"/>
    </row>
    <row r="972">
      <c r="A972" s="13"/>
      <c r="B972" s="41"/>
      <c r="D972" s="12"/>
      <c r="E972" s="14"/>
      <c r="F972" s="14"/>
      <c r="M972" s="14"/>
      <c r="AL972" s="19"/>
      <c r="AM972" s="19"/>
      <c r="AN972" s="19"/>
    </row>
    <row r="973">
      <c r="A973" s="13"/>
      <c r="B973" s="41"/>
      <c r="D973" s="12"/>
      <c r="E973" s="14"/>
      <c r="F973" s="14"/>
      <c r="M973" s="14"/>
      <c r="AL973" s="19"/>
      <c r="AM973" s="19"/>
      <c r="AN973" s="19"/>
    </row>
    <row r="974">
      <c r="A974" s="13"/>
      <c r="B974" s="41"/>
      <c r="D974" s="12"/>
      <c r="E974" s="14"/>
      <c r="F974" s="14"/>
      <c r="M974" s="14"/>
      <c r="AL974" s="19"/>
      <c r="AM974" s="19"/>
      <c r="AN974" s="19"/>
    </row>
    <row r="975">
      <c r="A975" s="13"/>
      <c r="B975" s="41"/>
      <c r="D975" s="12"/>
      <c r="E975" s="14"/>
      <c r="F975" s="14"/>
      <c r="M975" s="14"/>
      <c r="AL975" s="19"/>
      <c r="AM975" s="19"/>
      <c r="AN975" s="19"/>
    </row>
    <row r="976">
      <c r="A976" s="13"/>
      <c r="B976" s="41"/>
      <c r="D976" s="12"/>
      <c r="E976" s="14"/>
      <c r="F976" s="14"/>
      <c r="M976" s="14"/>
      <c r="AL976" s="19"/>
      <c r="AM976" s="19"/>
      <c r="AN976" s="19"/>
    </row>
    <row r="977">
      <c r="A977" s="13"/>
      <c r="B977" s="41"/>
      <c r="D977" s="12"/>
      <c r="E977" s="14"/>
      <c r="F977" s="14"/>
      <c r="M977" s="14"/>
      <c r="AL977" s="19"/>
      <c r="AM977" s="19"/>
      <c r="AN977" s="19"/>
    </row>
    <row r="978">
      <c r="A978" s="13"/>
      <c r="B978" s="41"/>
      <c r="D978" s="12"/>
      <c r="E978" s="14"/>
      <c r="F978" s="14"/>
      <c r="M978" s="14"/>
      <c r="AL978" s="19"/>
      <c r="AM978" s="19"/>
      <c r="AN978" s="19"/>
    </row>
    <row r="979">
      <c r="A979" s="13"/>
      <c r="B979" s="41"/>
      <c r="D979" s="12"/>
      <c r="E979" s="14"/>
      <c r="F979" s="14"/>
      <c r="M979" s="14"/>
      <c r="AL979" s="19"/>
      <c r="AM979" s="19"/>
      <c r="AN979" s="19"/>
    </row>
    <row r="980">
      <c r="A980" s="13"/>
      <c r="B980" s="41"/>
      <c r="D980" s="12"/>
      <c r="E980" s="14"/>
      <c r="F980" s="14"/>
      <c r="M980" s="14"/>
      <c r="AL980" s="19"/>
      <c r="AM980" s="19"/>
      <c r="AN980" s="19"/>
    </row>
    <row r="981">
      <c r="A981" s="13"/>
      <c r="B981" s="41"/>
      <c r="D981" s="12"/>
      <c r="E981" s="14"/>
      <c r="F981" s="14"/>
      <c r="M981" s="14"/>
      <c r="AL981" s="19"/>
      <c r="AM981" s="19"/>
      <c r="AN981" s="19"/>
    </row>
    <row r="982">
      <c r="A982" s="13"/>
      <c r="B982" s="41"/>
      <c r="D982" s="12"/>
      <c r="E982" s="14"/>
      <c r="F982" s="14"/>
      <c r="M982" s="14"/>
      <c r="AL982" s="19"/>
      <c r="AM982" s="19"/>
      <c r="AN982" s="19"/>
    </row>
    <row r="983">
      <c r="A983" s="13"/>
      <c r="B983" s="41"/>
      <c r="D983" s="12"/>
      <c r="E983" s="14"/>
      <c r="F983" s="14"/>
      <c r="M983" s="14"/>
      <c r="AL983" s="19"/>
      <c r="AM983" s="19"/>
      <c r="AN983" s="19"/>
    </row>
    <row r="984">
      <c r="A984" s="13"/>
      <c r="B984" s="41"/>
      <c r="D984" s="12"/>
      <c r="E984" s="14"/>
      <c r="F984" s="14"/>
      <c r="M984" s="14"/>
      <c r="AL984" s="19"/>
      <c r="AM984" s="19"/>
      <c r="AN984" s="19"/>
    </row>
    <row r="985">
      <c r="A985" s="13"/>
      <c r="B985" s="41"/>
      <c r="D985" s="12"/>
      <c r="E985" s="14"/>
      <c r="F985" s="14"/>
      <c r="M985" s="14"/>
      <c r="AL985" s="19"/>
      <c r="AM985" s="19"/>
      <c r="AN985" s="19"/>
    </row>
    <row r="986">
      <c r="A986" s="13"/>
      <c r="B986" s="41"/>
      <c r="D986" s="12"/>
      <c r="E986" s="14"/>
      <c r="F986" s="14"/>
      <c r="M986" s="14"/>
      <c r="AL986" s="19"/>
      <c r="AM986" s="19"/>
      <c r="AN986" s="19"/>
    </row>
    <row r="987">
      <c r="A987" s="13"/>
      <c r="B987" s="41"/>
      <c r="D987" s="12"/>
      <c r="E987" s="14"/>
      <c r="F987" s="14"/>
      <c r="M987" s="14"/>
      <c r="AL987" s="19"/>
      <c r="AM987" s="19"/>
      <c r="AN987" s="19"/>
    </row>
    <row r="988">
      <c r="A988" s="13"/>
      <c r="B988" s="41"/>
      <c r="D988" s="12"/>
      <c r="E988" s="14"/>
      <c r="F988" s="14"/>
      <c r="M988" s="14"/>
      <c r="AL988" s="19"/>
      <c r="AM988" s="19"/>
      <c r="AN988" s="19"/>
    </row>
    <row r="989">
      <c r="A989" s="13"/>
      <c r="B989" s="41"/>
      <c r="D989" s="12"/>
      <c r="E989" s="14"/>
      <c r="F989" s="14"/>
      <c r="M989" s="14"/>
      <c r="AL989" s="19"/>
      <c r="AM989" s="19"/>
      <c r="AN989" s="19"/>
    </row>
    <row r="990">
      <c r="A990" s="13"/>
      <c r="B990" s="41"/>
      <c r="D990" s="12"/>
      <c r="E990" s="14"/>
      <c r="F990" s="14"/>
      <c r="M990" s="14"/>
      <c r="AL990" s="19"/>
      <c r="AM990" s="19"/>
      <c r="AN990" s="19"/>
    </row>
    <row r="991">
      <c r="A991" s="13"/>
      <c r="B991" s="41"/>
      <c r="D991" s="12"/>
      <c r="E991" s="14"/>
      <c r="F991" s="14"/>
      <c r="M991" s="14"/>
      <c r="AL991" s="19"/>
      <c r="AM991" s="19"/>
      <c r="AN991" s="19"/>
    </row>
    <row r="992">
      <c r="A992" s="13"/>
      <c r="B992" s="41"/>
      <c r="D992" s="12"/>
      <c r="E992" s="14"/>
      <c r="F992" s="14"/>
      <c r="M992" s="14"/>
      <c r="AL992" s="19"/>
      <c r="AM992" s="19"/>
      <c r="AN992" s="19"/>
    </row>
    <row r="993">
      <c r="A993" s="13"/>
      <c r="B993" s="41"/>
      <c r="D993" s="12"/>
      <c r="E993" s="14"/>
      <c r="F993" s="14"/>
      <c r="M993" s="14"/>
      <c r="AL993" s="19"/>
      <c r="AM993" s="19"/>
      <c r="AN993" s="19"/>
    </row>
    <row r="994">
      <c r="A994" s="13"/>
      <c r="B994" s="41"/>
      <c r="D994" s="12"/>
      <c r="E994" s="14"/>
      <c r="F994" s="14"/>
      <c r="M994" s="14"/>
      <c r="AL994" s="19"/>
      <c r="AM994" s="19"/>
      <c r="AN994" s="19"/>
    </row>
    <row r="995">
      <c r="A995" s="13"/>
      <c r="B995" s="41"/>
      <c r="D995" s="12"/>
      <c r="E995" s="14"/>
      <c r="F995" s="14"/>
      <c r="M995" s="14"/>
      <c r="AL995" s="19"/>
      <c r="AM995" s="19"/>
      <c r="AN995" s="19"/>
    </row>
    <row r="996">
      <c r="A996" s="13"/>
      <c r="B996" s="41"/>
      <c r="D996" s="12"/>
      <c r="E996" s="14"/>
      <c r="F996" s="14"/>
      <c r="M996" s="14"/>
      <c r="AL996" s="19"/>
      <c r="AM996" s="19"/>
      <c r="AN996" s="19"/>
    </row>
    <row r="997">
      <c r="A997" s="13"/>
      <c r="B997" s="41"/>
      <c r="D997" s="12"/>
      <c r="E997" s="14"/>
      <c r="F997" s="14"/>
      <c r="M997" s="14"/>
      <c r="AL997" s="19"/>
      <c r="AM997" s="19"/>
      <c r="AN997" s="19"/>
    </row>
    <row r="998">
      <c r="A998" s="13"/>
      <c r="B998" s="41"/>
      <c r="D998" s="12"/>
      <c r="E998" s="14"/>
      <c r="F998" s="14"/>
      <c r="M998" s="14"/>
      <c r="AL998" s="19"/>
      <c r="AM998" s="19"/>
      <c r="AN998" s="19"/>
    </row>
    <row r="999">
      <c r="A999" s="13"/>
      <c r="B999" s="41"/>
      <c r="D999" s="12"/>
      <c r="E999" s="14"/>
      <c r="F999" s="14"/>
      <c r="M999" s="14"/>
      <c r="AL999" s="19"/>
      <c r="AM999" s="19"/>
      <c r="AN999" s="19"/>
    </row>
    <row r="1000">
      <c r="A1000" s="13"/>
      <c r="B1000" s="41"/>
      <c r="D1000" s="12"/>
      <c r="E1000" s="14"/>
      <c r="F1000" s="14"/>
      <c r="M1000" s="14"/>
      <c r="AL1000" s="19"/>
      <c r="AM1000" s="19"/>
      <c r="AN1000" s="19"/>
    </row>
  </sheetData>
  <autoFilter ref="$J$1:$J$1000">
    <sortState ref="J1:J1000">
      <sortCondition descending="1" ref="J1:J1000"/>
    </sortState>
  </autoFilter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6.0"/>
    <col customWidth="1" min="3" max="3" width="46.13"/>
    <col customWidth="1" min="4" max="4" width="12.25"/>
    <col customWidth="1" min="5" max="5" width="17.38"/>
    <col customWidth="1" min="6" max="6" width="16.38"/>
  </cols>
  <sheetData>
    <row r="1" ht="22.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26" t="s">
        <v>5</v>
      </c>
    </row>
    <row r="2" ht="22.5" customHeight="1">
      <c r="A2" s="31" t="s">
        <v>6</v>
      </c>
      <c r="B2" s="32">
        <v>1.250000116E9</v>
      </c>
      <c r="C2" s="33" t="s">
        <v>7</v>
      </c>
      <c r="D2" s="34">
        <v>45250.0</v>
      </c>
      <c r="E2" s="35" t="s">
        <v>8</v>
      </c>
      <c r="F2" s="31" t="s">
        <v>9</v>
      </c>
    </row>
    <row r="3" ht="22.5" customHeight="1">
      <c r="A3" s="31" t="s">
        <v>10</v>
      </c>
      <c r="B3" s="32">
        <v>1.250000505E9</v>
      </c>
      <c r="C3" s="33" t="s">
        <v>11</v>
      </c>
      <c r="D3" s="34">
        <v>45294.0</v>
      </c>
      <c r="E3" s="35" t="s">
        <v>12</v>
      </c>
      <c r="F3" s="31" t="s">
        <v>13</v>
      </c>
    </row>
    <row r="4" ht="22.5" customHeight="1">
      <c r="A4" s="31" t="s">
        <v>14</v>
      </c>
      <c r="B4" s="32">
        <v>1.250001764E9</v>
      </c>
      <c r="C4" s="33" t="s">
        <v>15</v>
      </c>
      <c r="D4" s="34">
        <v>45294.0</v>
      </c>
      <c r="E4" s="35" t="s">
        <v>16</v>
      </c>
      <c r="F4" s="31" t="s">
        <v>13</v>
      </c>
    </row>
    <row r="5" ht="22.5" customHeight="1">
      <c r="A5" s="31" t="s">
        <v>17</v>
      </c>
      <c r="B5" s="32">
        <v>1.250001496E9</v>
      </c>
      <c r="C5" s="33" t="s">
        <v>18</v>
      </c>
      <c r="D5" s="34">
        <v>45294.0</v>
      </c>
      <c r="E5" s="35" t="s">
        <v>19</v>
      </c>
      <c r="F5" s="31" t="s">
        <v>13</v>
      </c>
    </row>
    <row r="6" ht="22.5" customHeight="1">
      <c r="A6" s="31" t="s">
        <v>20</v>
      </c>
      <c r="B6" s="32">
        <v>1.200006565E9</v>
      </c>
      <c r="C6" s="33" t="s">
        <v>21</v>
      </c>
      <c r="D6" s="34">
        <v>45294.0</v>
      </c>
      <c r="E6" s="35" t="s">
        <v>22</v>
      </c>
      <c r="F6" s="31" t="s">
        <v>13</v>
      </c>
    </row>
    <row r="7" ht="22.5" customHeight="1">
      <c r="A7" s="31" t="s">
        <v>23</v>
      </c>
      <c r="B7" s="32">
        <v>1.250004966E9</v>
      </c>
      <c r="C7" s="33" t="s">
        <v>24</v>
      </c>
      <c r="D7" s="34">
        <v>45294.0</v>
      </c>
      <c r="E7" s="35" t="s">
        <v>25</v>
      </c>
      <c r="F7" s="31" t="s">
        <v>13</v>
      </c>
    </row>
    <row r="8" ht="22.5" customHeight="1">
      <c r="A8" s="31" t="s">
        <v>26</v>
      </c>
      <c r="B8" s="32">
        <v>1.250001764E9</v>
      </c>
      <c r="C8" s="33" t="s">
        <v>15</v>
      </c>
      <c r="D8" s="34">
        <v>45294.0</v>
      </c>
      <c r="E8" s="35" t="s">
        <v>27</v>
      </c>
      <c r="F8" s="31" t="s">
        <v>13</v>
      </c>
    </row>
    <row r="9" ht="22.5" customHeight="1">
      <c r="A9" s="31" t="s">
        <v>28</v>
      </c>
      <c r="B9" s="32">
        <v>1.250001142E9</v>
      </c>
      <c r="C9" s="33" t="s">
        <v>29</v>
      </c>
      <c r="D9" s="34">
        <v>45294.0</v>
      </c>
      <c r="E9" s="35" t="s">
        <v>30</v>
      </c>
      <c r="F9" s="31" t="s">
        <v>9</v>
      </c>
    </row>
    <row r="10" ht="22.5" customHeight="1">
      <c r="A10" s="31" t="s">
        <v>31</v>
      </c>
      <c r="B10" s="32">
        <v>1.200006417E9</v>
      </c>
      <c r="C10" s="33" t="s">
        <v>32</v>
      </c>
      <c r="D10" s="34">
        <v>45295.0</v>
      </c>
      <c r="E10" s="35" t="s">
        <v>16</v>
      </c>
      <c r="F10" s="31" t="s">
        <v>9</v>
      </c>
    </row>
    <row r="11" ht="22.5" customHeight="1">
      <c r="A11" s="31" t="s">
        <v>33</v>
      </c>
      <c r="B11" s="32">
        <v>1.250010315E9</v>
      </c>
      <c r="C11" s="33" t="s">
        <v>34</v>
      </c>
      <c r="D11" s="34">
        <v>45295.0</v>
      </c>
      <c r="E11" s="35" t="s">
        <v>35</v>
      </c>
      <c r="F11" s="31" t="s">
        <v>13</v>
      </c>
    </row>
    <row r="12" ht="22.5" customHeight="1">
      <c r="A12" s="31" t="s">
        <v>36</v>
      </c>
      <c r="B12" s="32">
        <v>1.250004938E9</v>
      </c>
      <c r="C12" s="33" t="s">
        <v>37</v>
      </c>
      <c r="D12" s="34">
        <v>45295.0</v>
      </c>
      <c r="E12" s="35" t="s">
        <v>38</v>
      </c>
      <c r="F12" s="31" t="s">
        <v>13</v>
      </c>
    </row>
    <row r="13" ht="22.5" customHeight="1">
      <c r="A13" s="31" t="s">
        <v>39</v>
      </c>
      <c r="B13" s="32">
        <v>1.250003997E9</v>
      </c>
      <c r="C13" s="33" t="s">
        <v>40</v>
      </c>
      <c r="D13" s="34">
        <v>45295.0</v>
      </c>
      <c r="E13" s="35" t="s">
        <v>41</v>
      </c>
      <c r="F13" s="31" t="s">
        <v>13</v>
      </c>
    </row>
    <row r="14" ht="22.5" customHeight="1">
      <c r="A14" s="31" t="s">
        <v>42</v>
      </c>
      <c r="B14" s="32">
        <v>1.250003421E9</v>
      </c>
      <c r="C14" s="33" t="s">
        <v>43</v>
      </c>
      <c r="D14" s="34">
        <v>45295.0</v>
      </c>
      <c r="E14" s="35" t="s">
        <v>44</v>
      </c>
      <c r="F14" s="31" t="s">
        <v>9</v>
      </c>
    </row>
    <row r="15" ht="22.5" customHeight="1">
      <c r="A15" s="31" t="s">
        <v>45</v>
      </c>
      <c r="B15" s="32">
        <v>1.200009067E9</v>
      </c>
      <c r="C15" s="33" t="s">
        <v>46</v>
      </c>
      <c r="D15" s="34">
        <v>45296.0</v>
      </c>
      <c r="E15" s="35" t="s">
        <v>47</v>
      </c>
      <c r="F15" s="31" t="s">
        <v>13</v>
      </c>
    </row>
    <row r="16" ht="22.5" customHeight="1">
      <c r="A16" s="31" t="s">
        <v>48</v>
      </c>
      <c r="B16" s="32">
        <v>1.250000118E9</v>
      </c>
      <c r="C16" s="33" t="s">
        <v>49</v>
      </c>
      <c r="D16" s="34">
        <v>45296.0</v>
      </c>
      <c r="E16" s="35" t="s">
        <v>50</v>
      </c>
      <c r="F16" s="31" t="s">
        <v>13</v>
      </c>
    </row>
    <row r="17" ht="22.5" customHeight="1">
      <c r="A17" s="31" t="s">
        <v>51</v>
      </c>
      <c r="B17" s="32">
        <v>1.250001741E9</v>
      </c>
      <c r="C17" s="33" t="s">
        <v>52</v>
      </c>
      <c r="D17" s="34">
        <v>45296.0</v>
      </c>
      <c r="E17" s="35" t="s">
        <v>53</v>
      </c>
      <c r="F17" s="31" t="s">
        <v>9</v>
      </c>
    </row>
    <row r="18" ht="22.5" customHeight="1">
      <c r="A18" s="31" t="s">
        <v>54</v>
      </c>
      <c r="B18" s="32">
        <v>1.250001142E9</v>
      </c>
      <c r="C18" s="33" t="s">
        <v>29</v>
      </c>
      <c r="D18" s="34">
        <v>45296.0</v>
      </c>
      <c r="E18" s="35" t="s">
        <v>55</v>
      </c>
      <c r="F18" s="31" t="s">
        <v>9</v>
      </c>
    </row>
    <row r="19" ht="22.5" customHeight="1">
      <c r="A19" s="31" t="s">
        <v>56</v>
      </c>
      <c r="B19" s="32">
        <v>1.200007688E9</v>
      </c>
      <c r="C19" s="33" t="s">
        <v>57</v>
      </c>
      <c r="D19" s="34">
        <v>45299.0</v>
      </c>
      <c r="E19" s="35" t="s">
        <v>58</v>
      </c>
      <c r="F19" s="31" t="s">
        <v>13</v>
      </c>
    </row>
    <row r="20" ht="22.5" customHeight="1">
      <c r="A20" s="31" t="s">
        <v>59</v>
      </c>
      <c r="B20" s="32">
        <v>1.250000913E9</v>
      </c>
      <c r="C20" s="33" t="s">
        <v>60</v>
      </c>
      <c r="D20" s="34">
        <v>45299.0</v>
      </c>
      <c r="E20" s="35" t="s">
        <v>61</v>
      </c>
      <c r="F20" s="31" t="s">
        <v>13</v>
      </c>
    </row>
    <row r="21" ht="22.5" customHeight="1">
      <c r="A21" s="31" t="s">
        <v>62</v>
      </c>
      <c r="B21" s="32">
        <v>1.250010259E9</v>
      </c>
      <c r="C21" s="33" t="s">
        <v>63</v>
      </c>
      <c r="D21" s="34">
        <v>45299.0</v>
      </c>
      <c r="E21" s="35" t="s">
        <v>64</v>
      </c>
      <c r="F21" s="31" t="s">
        <v>9</v>
      </c>
    </row>
    <row r="22" ht="22.5" customHeight="1">
      <c r="A22" s="31" t="s">
        <v>65</v>
      </c>
      <c r="B22" s="32">
        <v>1.250009502E9</v>
      </c>
      <c r="C22" s="33" t="s">
        <v>66</v>
      </c>
      <c r="D22" s="34">
        <v>45299.0</v>
      </c>
      <c r="E22" s="35" t="s">
        <v>67</v>
      </c>
      <c r="F22" s="31" t="s">
        <v>13</v>
      </c>
    </row>
    <row r="23" ht="22.5" customHeight="1">
      <c r="A23" s="31" t="s">
        <v>68</v>
      </c>
      <c r="B23" s="32">
        <v>1.250010233E9</v>
      </c>
      <c r="C23" s="33" t="s">
        <v>69</v>
      </c>
      <c r="D23" s="34">
        <v>45299.0</v>
      </c>
      <c r="E23" s="35" t="s">
        <v>70</v>
      </c>
      <c r="F23" s="31" t="s">
        <v>13</v>
      </c>
    </row>
    <row r="24" ht="22.5" customHeight="1">
      <c r="A24" s="31" t="s">
        <v>71</v>
      </c>
      <c r="B24" s="32">
        <v>1.250001764E9</v>
      </c>
      <c r="C24" s="33" t="s">
        <v>15</v>
      </c>
      <c r="D24" s="34">
        <v>45299.0</v>
      </c>
      <c r="E24" s="35" t="s">
        <v>72</v>
      </c>
      <c r="F24" s="31" t="s">
        <v>13</v>
      </c>
    </row>
    <row r="25" ht="22.5" customHeight="1">
      <c r="A25" s="31" t="s">
        <v>73</v>
      </c>
      <c r="B25" s="32">
        <v>1.250001764E9</v>
      </c>
      <c r="C25" s="33" t="s">
        <v>15</v>
      </c>
      <c r="D25" s="34">
        <v>45300.0</v>
      </c>
      <c r="E25" s="35" t="s">
        <v>74</v>
      </c>
      <c r="F25" s="31" t="s">
        <v>13</v>
      </c>
    </row>
    <row r="26" ht="22.5" customHeight="1">
      <c r="A26" s="31" t="s">
        <v>75</v>
      </c>
      <c r="B26" s="32">
        <v>1.200007688E9</v>
      </c>
      <c r="C26" s="33" t="s">
        <v>57</v>
      </c>
      <c r="D26" s="34">
        <v>45300.0</v>
      </c>
      <c r="E26" s="35" t="s">
        <v>76</v>
      </c>
      <c r="F26" s="31" t="s">
        <v>13</v>
      </c>
    </row>
    <row r="27" ht="22.5" customHeight="1">
      <c r="A27" s="31" t="s">
        <v>77</v>
      </c>
      <c r="B27" s="32">
        <v>1.200007688E9</v>
      </c>
      <c r="C27" s="33" t="s">
        <v>57</v>
      </c>
      <c r="D27" s="34">
        <v>45300.0</v>
      </c>
      <c r="E27" s="35" t="s">
        <v>76</v>
      </c>
      <c r="F27" s="31" t="s">
        <v>13</v>
      </c>
    </row>
    <row r="28" ht="22.5" customHeight="1">
      <c r="A28" s="31" t="s">
        <v>78</v>
      </c>
      <c r="B28" s="32">
        <v>1.200007688E9</v>
      </c>
      <c r="C28" s="33" t="s">
        <v>57</v>
      </c>
      <c r="D28" s="34">
        <v>45300.0</v>
      </c>
      <c r="E28" s="35" t="s">
        <v>76</v>
      </c>
      <c r="F28" s="31" t="s">
        <v>13</v>
      </c>
    </row>
    <row r="29" ht="22.5" customHeight="1">
      <c r="A29" s="31" t="s">
        <v>79</v>
      </c>
      <c r="B29" s="32">
        <v>1.200007688E9</v>
      </c>
      <c r="C29" s="33" t="s">
        <v>57</v>
      </c>
      <c r="D29" s="34">
        <v>45300.0</v>
      </c>
      <c r="E29" s="35" t="s">
        <v>76</v>
      </c>
      <c r="F29" s="31" t="s">
        <v>13</v>
      </c>
    </row>
    <row r="30" ht="22.5" customHeight="1">
      <c r="A30" s="31" t="s">
        <v>80</v>
      </c>
      <c r="B30" s="32">
        <v>1.250002203E9</v>
      </c>
      <c r="C30" s="33" t="s">
        <v>81</v>
      </c>
      <c r="D30" s="34">
        <v>45300.0</v>
      </c>
      <c r="E30" s="35" t="s">
        <v>82</v>
      </c>
      <c r="F30" s="31" t="s">
        <v>13</v>
      </c>
    </row>
    <row r="31" ht="22.5" customHeight="1">
      <c r="A31" s="31" t="s">
        <v>83</v>
      </c>
      <c r="B31" s="32">
        <v>1.250009745E9</v>
      </c>
      <c r="C31" s="33" t="s">
        <v>84</v>
      </c>
      <c r="D31" s="34">
        <v>45300.0</v>
      </c>
      <c r="E31" s="35" t="s">
        <v>85</v>
      </c>
      <c r="F31" s="31" t="s">
        <v>13</v>
      </c>
    </row>
    <row r="32" ht="22.5" customHeight="1">
      <c r="A32" s="31" t="s">
        <v>86</v>
      </c>
      <c r="B32" s="32">
        <v>1.20000892E9</v>
      </c>
      <c r="C32" s="33" t="s">
        <v>87</v>
      </c>
      <c r="D32" s="34">
        <v>45301.0</v>
      </c>
      <c r="E32" s="35" t="s">
        <v>88</v>
      </c>
      <c r="F32" s="31" t="s">
        <v>13</v>
      </c>
    </row>
    <row r="33" ht="22.5" customHeight="1">
      <c r="A33" s="31" t="s">
        <v>89</v>
      </c>
      <c r="B33" s="32">
        <v>1.20000789E9</v>
      </c>
      <c r="C33" s="33" t="s">
        <v>90</v>
      </c>
      <c r="D33" s="34">
        <v>45301.0</v>
      </c>
      <c r="E33" s="35" t="s">
        <v>91</v>
      </c>
      <c r="F33" s="31" t="s">
        <v>13</v>
      </c>
    </row>
    <row r="34" ht="22.5" customHeight="1">
      <c r="A34" s="31" t="s">
        <v>92</v>
      </c>
      <c r="B34" s="32">
        <v>1.250009892E9</v>
      </c>
      <c r="C34" s="33" t="s">
        <v>93</v>
      </c>
      <c r="D34" s="34">
        <v>45301.0</v>
      </c>
      <c r="E34" s="35" t="s">
        <v>94</v>
      </c>
      <c r="F34" s="31" t="s">
        <v>13</v>
      </c>
    </row>
    <row r="35" ht="22.5" customHeight="1">
      <c r="A35" s="31" t="s">
        <v>95</v>
      </c>
      <c r="B35" s="32">
        <v>1.250009892E9</v>
      </c>
      <c r="C35" s="33" t="s">
        <v>93</v>
      </c>
      <c r="D35" s="34">
        <v>45301.0</v>
      </c>
      <c r="E35" s="35" t="s">
        <v>96</v>
      </c>
      <c r="F35" s="31" t="s">
        <v>13</v>
      </c>
    </row>
    <row r="36" ht="22.5" customHeight="1">
      <c r="A36" s="31" t="s">
        <v>97</v>
      </c>
      <c r="B36" s="32">
        <v>1.250010341E9</v>
      </c>
      <c r="C36" s="33" t="s">
        <v>98</v>
      </c>
      <c r="D36" s="34">
        <v>45302.0</v>
      </c>
      <c r="E36" s="35" t="s">
        <v>99</v>
      </c>
      <c r="F36" s="31" t="s">
        <v>13</v>
      </c>
    </row>
    <row r="37" ht="22.5" customHeight="1">
      <c r="A37" s="31" t="s">
        <v>100</v>
      </c>
      <c r="B37" s="32">
        <v>1.250010341E9</v>
      </c>
      <c r="C37" s="33" t="s">
        <v>98</v>
      </c>
      <c r="D37" s="34">
        <v>45302.0</v>
      </c>
      <c r="E37" s="35" t="s">
        <v>101</v>
      </c>
      <c r="F37" s="31" t="s">
        <v>13</v>
      </c>
    </row>
    <row r="38" ht="22.5" customHeight="1">
      <c r="A38" s="31" t="s">
        <v>102</v>
      </c>
      <c r="B38" s="32">
        <v>1.250001348E9</v>
      </c>
      <c r="C38" s="33" t="s">
        <v>103</v>
      </c>
      <c r="D38" s="34">
        <v>45302.0</v>
      </c>
      <c r="E38" s="35" t="s">
        <v>104</v>
      </c>
      <c r="F38" s="31" t="s">
        <v>13</v>
      </c>
    </row>
    <row r="39" ht="22.5" customHeight="1">
      <c r="A39" s="31" t="s">
        <v>105</v>
      </c>
      <c r="B39" s="32">
        <v>1.250000034E9</v>
      </c>
      <c r="C39" s="33" t="s">
        <v>106</v>
      </c>
      <c r="D39" s="34">
        <v>45302.0</v>
      </c>
      <c r="E39" s="35" t="s">
        <v>107</v>
      </c>
      <c r="F39" s="31" t="s">
        <v>9</v>
      </c>
    </row>
    <row r="40" ht="22.5" customHeight="1">
      <c r="A40" s="31" t="s">
        <v>108</v>
      </c>
      <c r="B40" s="32">
        <v>1.250009745E9</v>
      </c>
      <c r="C40" s="33" t="s">
        <v>84</v>
      </c>
      <c r="D40" s="34">
        <v>45303.0</v>
      </c>
      <c r="E40" s="35" t="s">
        <v>109</v>
      </c>
      <c r="F40" s="31" t="s">
        <v>13</v>
      </c>
    </row>
    <row r="41" ht="22.5" customHeight="1">
      <c r="A41" s="31" t="s">
        <v>110</v>
      </c>
      <c r="B41" s="32">
        <v>1.250004887E9</v>
      </c>
      <c r="C41" s="33" t="s">
        <v>111</v>
      </c>
      <c r="D41" s="34">
        <v>45303.0</v>
      </c>
      <c r="E41" s="35" t="s">
        <v>112</v>
      </c>
      <c r="F41" s="31" t="s">
        <v>13</v>
      </c>
    </row>
    <row r="42" ht="22.5" customHeight="1">
      <c r="A42" s="31" t="s">
        <v>113</v>
      </c>
      <c r="B42" s="32">
        <v>1.250009745E9</v>
      </c>
      <c r="C42" s="33" t="s">
        <v>84</v>
      </c>
      <c r="D42" s="34">
        <v>45303.0</v>
      </c>
      <c r="E42" s="35" t="s">
        <v>114</v>
      </c>
      <c r="F42" s="31" t="s">
        <v>13</v>
      </c>
    </row>
    <row r="43" ht="22.5" customHeight="1">
      <c r="A43" s="31" t="s">
        <v>115</v>
      </c>
      <c r="B43" s="32">
        <v>1.250003753E9</v>
      </c>
      <c r="C43" s="33" t="s">
        <v>116</v>
      </c>
      <c r="D43" s="34">
        <v>45303.0</v>
      </c>
      <c r="E43" s="35" t="s">
        <v>117</v>
      </c>
      <c r="F43" s="31" t="s">
        <v>13</v>
      </c>
    </row>
    <row r="44" ht="22.5" customHeight="1">
      <c r="A44" s="31" t="s">
        <v>118</v>
      </c>
      <c r="B44" s="32">
        <v>1.250000438E9</v>
      </c>
      <c r="C44" s="33" t="s">
        <v>119</v>
      </c>
      <c r="D44" s="34">
        <v>45303.0</v>
      </c>
      <c r="E44" s="35" t="s">
        <v>120</v>
      </c>
      <c r="F44" s="31" t="s">
        <v>9</v>
      </c>
    </row>
    <row r="45" ht="22.5" customHeight="1">
      <c r="A45" s="31" t="s">
        <v>121</v>
      </c>
      <c r="B45" s="32">
        <v>1.250001496E9</v>
      </c>
      <c r="C45" s="33" t="s">
        <v>18</v>
      </c>
      <c r="D45" s="34">
        <v>45304.0</v>
      </c>
      <c r="E45" s="35" t="s">
        <v>122</v>
      </c>
      <c r="F45" s="31" t="s">
        <v>13</v>
      </c>
    </row>
    <row r="46" ht="22.5" customHeight="1">
      <c r="A46" s="31" t="s">
        <v>123</v>
      </c>
      <c r="B46" s="32">
        <v>1.250001496E9</v>
      </c>
      <c r="C46" s="33" t="s">
        <v>18</v>
      </c>
      <c r="D46" s="34">
        <v>45304.0</v>
      </c>
      <c r="E46" s="35" t="s">
        <v>124</v>
      </c>
      <c r="F46" s="31" t="s">
        <v>13</v>
      </c>
    </row>
    <row r="47" ht="22.5" customHeight="1">
      <c r="A47" s="31" t="s">
        <v>125</v>
      </c>
      <c r="B47" s="32">
        <v>1.250001496E9</v>
      </c>
      <c r="C47" s="33" t="s">
        <v>18</v>
      </c>
      <c r="D47" s="34">
        <v>45304.0</v>
      </c>
      <c r="E47" s="35" t="s">
        <v>126</v>
      </c>
      <c r="F47" s="31" t="s">
        <v>13</v>
      </c>
    </row>
    <row r="48" ht="22.5" customHeight="1">
      <c r="A48" s="31" t="s">
        <v>127</v>
      </c>
      <c r="B48" s="32">
        <v>1.200007409E9</v>
      </c>
      <c r="C48" s="33" t="s">
        <v>128</v>
      </c>
      <c r="D48" s="34">
        <v>45306.0</v>
      </c>
      <c r="E48" s="35" t="s">
        <v>129</v>
      </c>
      <c r="F48" s="31" t="s">
        <v>13</v>
      </c>
    </row>
    <row r="49" ht="22.5" customHeight="1">
      <c r="A49" s="31" t="s">
        <v>130</v>
      </c>
      <c r="B49" s="32">
        <v>1.250004371E9</v>
      </c>
      <c r="C49" s="33" t="s">
        <v>131</v>
      </c>
      <c r="D49" s="34">
        <v>45306.0</v>
      </c>
      <c r="E49" s="35" t="s">
        <v>132</v>
      </c>
      <c r="F49" s="31" t="s">
        <v>13</v>
      </c>
    </row>
    <row r="50" ht="22.5" customHeight="1">
      <c r="A50" s="31" t="s">
        <v>133</v>
      </c>
      <c r="B50" s="32">
        <v>1.200008426E9</v>
      </c>
      <c r="C50" s="33" t="s">
        <v>134</v>
      </c>
      <c r="D50" s="34">
        <v>45306.0</v>
      </c>
      <c r="E50" s="35" t="s">
        <v>135</v>
      </c>
      <c r="F50" s="31" t="s">
        <v>13</v>
      </c>
    </row>
    <row r="51" ht="22.5" customHeight="1">
      <c r="A51" s="31" t="s">
        <v>136</v>
      </c>
      <c r="B51" s="32">
        <v>1.250010348E9</v>
      </c>
      <c r="C51" s="33" t="s">
        <v>137</v>
      </c>
      <c r="D51" s="34">
        <v>45306.0</v>
      </c>
      <c r="E51" s="35" t="s">
        <v>138</v>
      </c>
      <c r="F51" s="31" t="s">
        <v>139</v>
      </c>
    </row>
    <row r="52" ht="22.5" customHeight="1">
      <c r="A52" s="31" t="s">
        <v>140</v>
      </c>
      <c r="B52" s="32">
        <v>1.250001764E9</v>
      </c>
      <c r="C52" s="33" t="s">
        <v>15</v>
      </c>
      <c r="D52" s="34">
        <v>45307.0</v>
      </c>
      <c r="E52" s="35" t="s">
        <v>141</v>
      </c>
      <c r="F52" s="31" t="s">
        <v>13</v>
      </c>
    </row>
    <row r="53" ht="22.5" customHeight="1">
      <c r="A53" s="31" t="s">
        <v>142</v>
      </c>
      <c r="B53" s="32">
        <v>1.250004887E9</v>
      </c>
      <c r="C53" s="33" t="s">
        <v>111</v>
      </c>
      <c r="D53" s="34">
        <v>45307.0</v>
      </c>
      <c r="E53" s="35" t="s">
        <v>143</v>
      </c>
      <c r="F53" s="31" t="s">
        <v>13</v>
      </c>
    </row>
    <row r="54" ht="22.5" customHeight="1">
      <c r="A54" s="31" t="s">
        <v>144</v>
      </c>
      <c r="B54" s="32">
        <v>1.250001319E9</v>
      </c>
      <c r="C54" s="33" t="s">
        <v>145</v>
      </c>
      <c r="D54" s="34">
        <v>45307.0</v>
      </c>
      <c r="E54" s="35" t="s">
        <v>146</v>
      </c>
      <c r="F54" s="31" t="s">
        <v>13</v>
      </c>
    </row>
    <row r="55" ht="22.5" customHeight="1">
      <c r="A55" s="31" t="s">
        <v>147</v>
      </c>
      <c r="B55" s="32">
        <v>1.250002059E9</v>
      </c>
      <c r="C55" s="33" t="s">
        <v>148</v>
      </c>
      <c r="D55" s="34">
        <v>45307.0</v>
      </c>
      <c r="E55" s="35" t="s">
        <v>149</v>
      </c>
      <c r="F55" s="31" t="s">
        <v>13</v>
      </c>
    </row>
    <row r="56" ht="22.5" customHeight="1">
      <c r="A56" s="31" t="s">
        <v>150</v>
      </c>
      <c r="B56" s="32">
        <v>1.250001319E9</v>
      </c>
      <c r="C56" s="33" t="s">
        <v>145</v>
      </c>
      <c r="D56" s="34">
        <v>45307.0</v>
      </c>
      <c r="E56" s="35" t="s">
        <v>151</v>
      </c>
      <c r="F56" s="31" t="s">
        <v>13</v>
      </c>
    </row>
    <row r="57" ht="22.5" customHeight="1">
      <c r="A57" s="31" t="s">
        <v>152</v>
      </c>
      <c r="B57" s="32">
        <v>1.250001319E9</v>
      </c>
      <c r="C57" s="33" t="s">
        <v>145</v>
      </c>
      <c r="D57" s="34">
        <v>45307.0</v>
      </c>
      <c r="E57" s="35" t="s">
        <v>153</v>
      </c>
      <c r="F57" s="31" t="s">
        <v>13</v>
      </c>
    </row>
    <row r="58" ht="22.5" customHeight="1">
      <c r="A58" s="31" t="s">
        <v>154</v>
      </c>
      <c r="B58" s="32">
        <v>1.250003015E9</v>
      </c>
      <c r="C58" s="33" t="s">
        <v>155</v>
      </c>
      <c r="D58" s="34">
        <v>45307.0</v>
      </c>
      <c r="E58" s="35" t="s">
        <v>156</v>
      </c>
      <c r="F58" s="31" t="s">
        <v>13</v>
      </c>
    </row>
    <row r="59" ht="22.5" customHeight="1">
      <c r="A59" s="31" t="s">
        <v>157</v>
      </c>
      <c r="B59" s="32">
        <v>1.250003015E9</v>
      </c>
      <c r="C59" s="33" t="s">
        <v>155</v>
      </c>
      <c r="D59" s="34">
        <v>45307.0</v>
      </c>
      <c r="E59" s="35" t="s">
        <v>158</v>
      </c>
      <c r="F59" s="31" t="s">
        <v>13</v>
      </c>
    </row>
    <row r="60" ht="22.5" customHeight="1">
      <c r="A60" s="31" t="s">
        <v>159</v>
      </c>
      <c r="B60" s="32">
        <v>1.25000178E9</v>
      </c>
      <c r="C60" s="33" t="s">
        <v>160</v>
      </c>
      <c r="D60" s="34">
        <v>45308.0</v>
      </c>
      <c r="E60" s="35" t="s">
        <v>161</v>
      </c>
      <c r="F60" s="31" t="s">
        <v>13</v>
      </c>
    </row>
    <row r="61" ht="22.5" customHeight="1">
      <c r="A61" s="31" t="s">
        <v>162</v>
      </c>
      <c r="B61" s="32">
        <v>1.200008537E9</v>
      </c>
      <c r="C61" s="33" t="s">
        <v>163</v>
      </c>
      <c r="D61" s="34">
        <v>45308.0</v>
      </c>
      <c r="E61" s="35" t="s">
        <v>164</v>
      </c>
      <c r="F61" s="31" t="s">
        <v>13</v>
      </c>
    </row>
    <row r="62" ht="22.5" customHeight="1">
      <c r="A62" s="31" t="s">
        <v>165</v>
      </c>
      <c r="B62" s="32">
        <v>1.250009423E9</v>
      </c>
      <c r="C62" s="33" t="s">
        <v>166</v>
      </c>
      <c r="D62" s="34">
        <v>45308.0</v>
      </c>
      <c r="E62" s="35" t="s">
        <v>167</v>
      </c>
      <c r="F62" s="31" t="s">
        <v>13</v>
      </c>
    </row>
    <row r="63" ht="22.5" customHeight="1">
      <c r="A63" s="31" t="s">
        <v>168</v>
      </c>
      <c r="B63" s="32">
        <v>1.200006917E9</v>
      </c>
      <c r="C63" s="33" t="s">
        <v>169</v>
      </c>
      <c r="D63" s="34">
        <v>45308.0</v>
      </c>
      <c r="E63" s="35" t="s">
        <v>170</v>
      </c>
      <c r="F63" s="31" t="s">
        <v>13</v>
      </c>
    </row>
    <row r="64" ht="22.5" customHeight="1">
      <c r="A64" s="31" t="s">
        <v>171</v>
      </c>
      <c r="B64" s="32">
        <v>1.250002653E9</v>
      </c>
      <c r="C64" s="33" t="s">
        <v>172</v>
      </c>
      <c r="D64" s="34">
        <v>45308.0</v>
      </c>
      <c r="E64" s="35" t="s">
        <v>173</v>
      </c>
      <c r="F64" s="31" t="s">
        <v>13</v>
      </c>
    </row>
    <row r="65" ht="22.5" customHeight="1">
      <c r="A65" s="31" t="s">
        <v>174</v>
      </c>
      <c r="B65" s="32">
        <v>1.250001178E9</v>
      </c>
      <c r="C65" s="33" t="s">
        <v>175</v>
      </c>
      <c r="D65" s="34">
        <v>45309.0</v>
      </c>
      <c r="E65" s="35" t="s">
        <v>176</v>
      </c>
      <c r="F65" s="31" t="s">
        <v>13</v>
      </c>
    </row>
    <row r="66" ht="22.5" customHeight="1">
      <c r="A66" s="31" t="s">
        <v>177</v>
      </c>
      <c r="B66" s="32">
        <v>1.250004411E9</v>
      </c>
      <c r="C66" s="33" t="s">
        <v>178</v>
      </c>
      <c r="D66" s="34">
        <v>45309.0</v>
      </c>
      <c r="E66" s="35" t="s">
        <v>179</v>
      </c>
      <c r="F66" s="31" t="s">
        <v>13</v>
      </c>
    </row>
    <row r="67" ht="22.5" customHeight="1">
      <c r="A67" s="31" t="s">
        <v>180</v>
      </c>
      <c r="B67" s="32">
        <v>1.200007752E9</v>
      </c>
      <c r="C67" s="33" t="s">
        <v>181</v>
      </c>
      <c r="D67" s="34">
        <v>45309.0</v>
      </c>
      <c r="E67" s="35" t="s">
        <v>182</v>
      </c>
      <c r="F67" s="31" t="s">
        <v>13</v>
      </c>
    </row>
    <row r="68" ht="22.5" customHeight="1">
      <c r="A68" s="31" t="s">
        <v>183</v>
      </c>
      <c r="B68" s="32">
        <v>1.220000614E9</v>
      </c>
      <c r="C68" s="33" t="s">
        <v>184</v>
      </c>
      <c r="D68" s="34">
        <v>45310.0</v>
      </c>
      <c r="E68" s="35" t="s">
        <v>185</v>
      </c>
      <c r="F68" s="31" t="s">
        <v>13</v>
      </c>
    </row>
    <row r="69" ht="22.5" customHeight="1">
      <c r="A69" s="31" t="s">
        <v>186</v>
      </c>
      <c r="B69" s="32">
        <v>1.200007686E9</v>
      </c>
      <c r="C69" s="33" t="s">
        <v>187</v>
      </c>
      <c r="D69" s="34">
        <v>45310.0</v>
      </c>
      <c r="E69" s="35" t="s">
        <v>188</v>
      </c>
      <c r="F69" s="31" t="s">
        <v>13</v>
      </c>
    </row>
    <row r="70" ht="22.5" customHeight="1">
      <c r="A70" s="31" t="s">
        <v>189</v>
      </c>
      <c r="B70" s="32">
        <v>1.250000164E9</v>
      </c>
      <c r="C70" s="33" t="s">
        <v>190</v>
      </c>
      <c r="D70" s="34">
        <v>45313.0</v>
      </c>
      <c r="E70" s="35" t="s">
        <v>191</v>
      </c>
      <c r="F70" s="31" t="s">
        <v>13</v>
      </c>
    </row>
    <row r="71" ht="22.5" customHeight="1">
      <c r="A71" s="31" t="s">
        <v>192</v>
      </c>
      <c r="B71" s="32">
        <v>1.200008786E9</v>
      </c>
      <c r="C71" s="33" t="s">
        <v>193</v>
      </c>
      <c r="D71" s="34">
        <v>45313.0</v>
      </c>
      <c r="E71" s="35" t="s">
        <v>194</v>
      </c>
      <c r="F71" s="31" t="s">
        <v>13</v>
      </c>
    </row>
    <row r="72" ht="22.5" customHeight="1">
      <c r="A72" s="31" t="s">
        <v>195</v>
      </c>
      <c r="B72" s="32">
        <v>1.200006917E9</v>
      </c>
      <c r="C72" s="33" t="s">
        <v>169</v>
      </c>
      <c r="D72" s="34">
        <v>45313.0</v>
      </c>
      <c r="E72" s="35" t="s">
        <v>196</v>
      </c>
      <c r="F72" s="31" t="s">
        <v>13</v>
      </c>
    </row>
    <row r="73" ht="22.5" customHeight="1">
      <c r="A73" s="31" t="s">
        <v>197</v>
      </c>
      <c r="B73" s="32">
        <v>1.250002653E9</v>
      </c>
      <c r="C73" s="33" t="s">
        <v>172</v>
      </c>
      <c r="D73" s="34">
        <v>45313.0</v>
      </c>
      <c r="E73" s="35" t="s">
        <v>198</v>
      </c>
      <c r="F73" s="31" t="s">
        <v>13</v>
      </c>
    </row>
    <row r="74" ht="22.5" customHeight="1">
      <c r="A74" s="31" t="s">
        <v>199</v>
      </c>
      <c r="B74" s="32">
        <v>1.250005019E9</v>
      </c>
      <c r="C74" s="33" t="s">
        <v>200</v>
      </c>
      <c r="D74" s="34">
        <v>45313.0</v>
      </c>
      <c r="E74" s="35" t="s">
        <v>201</v>
      </c>
      <c r="F74" s="31" t="s">
        <v>13</v>
      </c>
    </row>
    <row r="75" ht="22.5" customHeight="1">
      <c r="A75" s="31" t="s">
        <v>202</v>
      </c>
      <c r="B75" s="32">
        <v>1.250005019E9</v>
      </c>
      <c r="C75" s="33" t="s">
        <v>200</v>
      </c>
      <c r="D75" s="34">
        <v>45313.0</v>
      </c>
      <c r="E75" s="35" t="s">
        <v>203</v>
      </c>
      <c r="F75" s="31" t="s">
        <v>13</v>
      </c>
    </row>
    <row r="76" ht="22.5" customHeight="1">
      <c r="A76" s="31" t="s">
        <v>204</v>
      </c>
      <c r="B76" s="32">
        <v>1.250009576E9</v>
      </c>
      <c r="C76" s="33" t="s">
        <v>205</v>
      </c>
      <c r="D76" s="34">
        <v>45313.0</v>
      </c>
      <c r="E76" s="35" t="s">
        <v>206</v>
      </c>
      <c r="F76" s="31" t="s">
        <v>13</v>
      </c>
    </row>
    <row r="77" ht="22.5" customHeight="1">
      <c r="A77" s="31" t="s">
        <v>207</v>
      </c>
      <c r="B77" s="32">
        <v>1.200007818E9</v>
      </c>
      <c r="C77" s="33" t="s">
        <v>208</v>
      </c>
      <c r="D77" s="34">
        <v>45313.0</v>
      </c>
      <c r="E77" s="35" t="s">
        <v>209</v>
      </c>
      <c r="F77" s="31" t="s">
        <v>9</v>
      </c>
    </row>
    <row r="78" ht="22.5" customHeight="1">
      <c r="A78" s="31" t="s">
        <v>210</v>
      </c>
      <c r="B78" s="32">
        <v>1.250001764E9</v>
      </c>
      <c r="C78" s="33" t="s">
        <v>15</v>
      </c>
      <c r="D78" s="34">
        <v>45314.0</v>
      </c>
      <c r="E78" s="35" t="s">
        <v>211</v>
      </c>
      <c r="F78" s="31" t="s">
        <v>13</v>
      </c>
    </row>
    <row r="79" ht="22.5" customHeight="1">
      <c r="A79" s="31" t="s">
        <v>212</v>
      </c>
      <c r="B79" s="32">
        <v>1.250010352E9</v>
      </c>
      <c r="C79" s="33" t="s">
        <v>213</v>
      </c>
      <c r="D79" s="34">
        <v>45314.0</v>
      </c>
      <c r="E79" s="35" t="s">
        <v>214</v>
      </c>
      <c r="F79" s="31" t="s">
        <v>139</v>
      </c>
    </row>
    <row r="80" ht="22.5" customHeight="1">
      <c r="A80" s="31" t="s">
        <v>215</v>
      </c>
      <c r="B80" s="32">
        <v>1.250001276E9</v>
      </c>
      <c r="C80" s="33" t="s">
        <v>216</v>
      </c>
      <c r="D80" s="34">
        <v>45314.0</v>
      </c>
      <c r="E80" s="35" t="s">
        <v>217</v>
      </c>
      <c r="F80" s="31" t="s">
        <v>9</v>
      </c>
    </row>
    <row r="81" ht="22.5" customHeight="1">
      <c r="A81" s="31" t="s">
        <v>218</v>
      </c>
      <c r="B81" s="32">
        <v>1.250001764E9</v>
      </c>
      <c r="C81" s="33" t="s">
        <v>15</v>
      </c>
      <c r="D81" s="34">
        <v>45314.0</v>
      </c>
      <c r="E81" s="35" t="s">
        <v>219</v>
      </c>
      <c r="F81" s="31" t="s">
        <v>13</v>
      </c>
    </row>
    <row r="82" ht="22.5" customHeight="1">
      <c r="A82" s="31" t="s">
        <v>220</v>
      </c>
      <c r="B82" s="32">
        <v>1.200008869E9</v>
      </c>
      <c r="C82" s="33" t="s">
        <v>221</v>
      </c>
      <c r="D82" s="34">
        <v>45314.0</v>
      </c>
      <c r="E82" s="35" t="s">
        <v>222</v>
      </c>
      <c r="F82" s="31" t="s">
        <v>13</v>
      </c>
    </row>
    <row r="83" ht="22.5" customHeight="1">
      <c r="A83" s="31" t="s">
        <v>223</v>
      </c>
      <c r="B83" s="32">
        <v>1.200008243E9</v>
      </c>
      <c r="C83" s="33" t="s">
        <v>224</v>
      </c>
      <c r="D83" s="34">
        <v>45314.0</v>
      </c>
      <c r="E83" s="35" t="s">
        <v>225</v>
      </c>
      <c r="F83" s="31" t="s">
        <v>13</v>
      </c>
    </row>
    <row r="84" ht="22.5" customHeight="1">
      <c r="A84" s="31" t="s">
        <v>226</v>
      </c>
      <c r="B84" s="32">
        <v>1.250009576E9</v>
      </c>
      <c r="C84" s="33" t="s">
        <v>205</v>
      </c>
      <c r="D84" s="34">
        <v>45314.0</v>
      </c>
      <c r="E84" s="35" t="s">
        <v>227</v>
      </c>
      <c r="F84" s="31" t="s">
        <v>13</v>
      </c>
    </row>
    <row r="85" ht="22.5" customHeight="1">
      <c r="A85" s="31" t="s">
        <v>228</v>
      </c>
      <c r="B85" s="32">
        <v>1.250001142E9</v>
      </c>
      <c r="C85" s="33" t="s">
        <v>29</v>
      </c>
      <c r="D85" s="34">
        <v>45314.0</v>
      </c>
      <c r="E85" s="35" t="s">
        <v>229</v>
      </c>
      <c r="F85" s="31" t="s">
        <v>9</v>
      </c>
    </row>
    <row r="86" ht="22.5" customHeight="1">
      <c r="A86" s="31" t="s">
        <v>230</v>
      </c>
      <c r="B86" s="32">
        <v>1.250002423E9</v>
      </c>
      <c r="C86" s="33" t="s">
        <v>231</v>
      </c>
      <c r="D86" s="34">
        <v>45314.0</v>
      </c>
      <c r="E86" s="35" t="s">
        <v>232</v>
      </c>
      <c r="F86" s="31" t="s">
        <v>9</v>
      </c>
    </row>
    <row r="87" ht="22.5" customHeight="1">
      <c r="A87" s="31" t="s">
        <v>233</v>
      </c>
      <c r="B87" s="32">
        <v>1.250001142E9</v>
      </c>
      <c r="C87" s="33" t="s">
        <v>29</v>
      </c>
      <c r="D87" s="34">
        <v>45314.0</v>
      </c>
      <c r="E87" s="35" t="s">
        <v>234</v>
      </c>
      <c r="F87" s="31" t="s">
        <v>9</v>
      </c>
    </row>
    <row r="88" ht="22.5" customHeight="1">
      <c r="A88" s="31" t="s">
        <v>235</v>
      </c>
      <c r="B88" s="32">
        <v>1.250001764E9</v>
      </c>
      <c r="C88" s="33" t="s">
        <v>15</v>
      </c>
      <c r="D88" s="34">
        <v>45314.0</v>
      </c>
      <c r="E88" s="35" t="s">
        <v>236</v>
      </c>
      <c r="F88" s="31" t="s">
        <v>13</v>
      </c>
    </row>
    <row r="89" ht="22.5" customHeight="1">
      <c r="A89" s="31" t="s">
        <v>237</v>
      </c>
      <c r="B89" s="32">
        <v>1.250000438E9</v>
      </c>
      <c r="C89" s="33" t="s">
        <v>119</v>
      </c>
      <c r="D89" s="34">
        <v>45315.0</v>
      </c>
      <c r="E89" s="35" t="s">
        <v>238</v>
      </c>
      <c r="F89" s="31" t="s">
        <v>9</v>
      </c>
    </row>
    <row r="90" ht="22.5" customHeight="1">
      <c r="A90" s="31" t="s">
        <v>239</v>
      </c>
      <c r="B90" s="32">
        <v>1.250000147E9</v>
      </c>
      <c r="C90" s="33" t="s">
        <v>240</v>
      </c>
      <c r="D90" s="34">
        <v>45315.0</v>
      </c>
      <c r="E90" s="35" t="s">
        <v>241</v>
      </c>
      <c r="F90" s="31" t="s">
        <v>13</v>
      </c>
    </row>
    <row r="91" ht="22.5" customHeight="1">
      <c r="A91" s="31" t="s">
        <v>242</v>
      </c>
      <c r="B91" s="32">
        <v>1.200007752E9</v>
      </c>
      <c r="C91" s="33" t="s">
        <v>181</v>
      </c>
      <c r="D91" s="34">
        <v>45315.0</v>
      </c>
      <c r="E91" s="35" t="s">
        <v>243</v>
      </c>
      <c r="F91" s="31" t="s">
        <v>13</v>
      </c>
    </row>
    <row r="92" ht="22.5" customHeight="1">
      <c r="A92" s="31" t="s">
        <v>244</v>
      </c>
      <c r="B92" s="32">
        <v>1.250000629E9</v>
      </c>
      <c r="C92" s="33" t="s">
        <v>245</v>
      </c>
      <c r="D92" s="34">
        <v>45315.0</v>
      </c>
      <c r="E92" s="35" t="s">
        <v>246</v>
      </c>
      <c r="F92" s="31" t="s">
        <v>9</v>
      </c>
    </row>
    <row r="93" ht="22.5" customHeight="1">
      <c r="A93" s="31" t="s">
        <v>247</v>
      </c>
      <c r="B93" s="32">
        <v>1.250000629E9</v>
      </c>
      <c r="C93" s="33" t="s">
        <v>245</v>
      </c>
      <c r="D93" s="34">
        <v>45315.0</v>
      </c>
      <c r="E93" s="35" t="s">
        <v>248</v>
      </c>
      <c r="F93" s="31" t="s">
        <v>9</v>
      </c>
    </row>
    <row r="94" ht="22.5" customHeight="1">
      <c r="A94" s="31" t="s">
        <v>249</v>
      </c>
      <c r="B94" s="32">
        <v>1.250000438E9</v>
      </c>
      <c r="C94" s="33" t="s">
        <v>119</v>
      </c>
      <c r="D94" s="34">
        <v>45315.0</v>
      </c>
      <c r="E94" s="35" t="s">
        <v>250</v>
      </c>
      <c r="F94" s="31" t="s">
        <v>9</v>
      </c>
    </row>
    <row r="95" ht="22.5" customHeight="1">
      <c r="A95" s="31" t="s">
        <v>251</v>
      </c>
      <c r="B95" s="32">
        <v>1.250000255E9</v>
      </c>
      <c r="C95" s="33" t="s">
        <v>252</v>
      </c>
      <c r="D95" s="34">
        <v>45315.0</v>
      </c>
      <c r="E95" s="35" t="s">
        <v>253</v>
      </c>
      <c r="F95" s="31" t="s">
        <v>9</v>
      </c>
    </row>
    <row r="96" ht="22.5" customHeight="1">
      <c r="A96" s="31" t="s">
        <v>254</v>
      </c>
      <c r="B96" s="32">
        <v>1.250003683E9</v>
      </c>
      <c r="C96" s="33" t="s">
        <v>255</v>
      </c>
      <c r="D96" s="34">
        <v>45315.0</v>
      </c>
      <c r="E96" s="35" t="s">
        <v>256</v>
      </c>
      <c r="F96" s="31" t="s">
        <v>13</v>
      </c>
    </row>
    <row r="97" ht="22.5" customHeight="1">
      <c r="A97" s="31" t="s">
        <v>257</v>
      </c>
      <c r="B97" s="32">
        <v>1.250000438E9</v>
      </c>
      <c r="C97" s="33" t="s">
        <v>119</v>
      </c>
      <c r="D97" s="34">
        <v>45315.0</v>
      </c>
      <c r="E97" s="35" t="s">
        <v>258</v>
      </c>
      <c r="F97" s="31" t="s">
        <v>9</v>
      </c>
    </row>
    <row r="98" ht="22.5" customHeight="1">
      <c r="A98" s="31" t="s">
        <v>259</v>
      </c>
      <c r="B98" s="32">
        <v>1.250000438E9</v>
      </c>
      <c r="C98" s="33" t="s">
        <v>119</v>
      </c>
      <c r="D98" s="34">
        <v>45315.0</v>
      </c>
      <c r="E98" s="35" t="s">
        <v>260</v>
      </c>
      <c r="F98" s="31" t="s">
        <v>9</v>
      </c>
    </row>
    <row r="99" ht="22.5" customHeight="1">
      <c r="A99" s="31" t="s">
        <v>261</v>
      </c>
      <c r="B99" s="32">
        <v>1.250002297E9</v>
      </c>
      <c r="C99" s="33" t="s">
        <v>262</v>
      </c>
      <c r="D99" s="34">
        <v>45316.0</v>
      </c>
      <c r="E99" s="35" t="s">
        <v>263</v>
      </c>
      <c r="F99" s="31" t="s">
        <v>9</v>
      </c>
    </row>
    <row r="100" ht="22.5" customHeight="1">
      <c r="A100" s="31" t="s">
        <v>264</v>
      </c>
      <c r="B100" s="32">
        <v>1.200008027E9</v>
      </c>
      <c r="C100" s="33" t="s">
        <v>265</v>
      </c>
      <c r="D100" s="34">
        <v>45316.0</v>
      </c>
      <c r="E100" s="35" t="s">
        <v>196</v>
      </c>
      <c r="F100" s="31" t="s">
        <v>13</v>
      </c>
    </row>
    <row r="101" ht="22.5" customHeight="1">
      <c r="A101" s="31" t="s">
        <v>266</v>
      </c>
      <c r="B101" s="32">
        <v>1.200008447E9</v>
      </c>
      <c r="C101" s="33" t="s">
        <v>267</v>
      </c>
      <c r="D101" s="34">
        <v>45316.0</v>
      </c>
      <c r="E101" s="35" t="s">
        <v>268</v>
      </c>
      <c r="F101" s="31" t="s">
        <v>13</v>
      </c>
    </row>
    <row r="102" ht="22.5" customHeight="1">
      <c r="A102" s="31" t="s">
        <v>269</v>
      </c>
      <c r="B102" s="32">
        <v>1.250010361E9</v>
      </c>
      <c r="C102" s="33" t="s">
        <v>270</v>
      </c>
      <c r="D102" s="34">
        <v>45317.0</v>
      </c>
      <c r="E102" s="35" t="s">
        <v>271</v>
      </c>
      <c r="F102" s="31" t="s">
        <v>139</v>
      </c>
    </row>
    <row r="103" ht="22.5" customHeight="1">
      <c r="A103" s="31" t="s">
        <v>272</v>
      </c>
      <c r="B103" s="32">
        <v>1.25000382E9</v>
      </c>
      <c r="C103" s="33" t="s">
        <v>273</v>
      </c>
      <c r="D103" s="34">
        <v>45317.0</v>
      </c>
      <c r="E103" s="35" t="s">
        <v>274</v>
      </c>
      <c r="F103" s="31" t="s">
        <v>13</v>
      </c>
    </row>
    <row r="104" ht="22.5" customHeight="1">
      <c r="A104" s="31" t="s">
        <v>275</v>
      </c>
      <c r="B104" s="32">
        <v>1.250001434E9</v>
      </c>
      <c r="C104" s="33" t="s">
        <v>276</v>
      </c>
      <c r="D104" s="34">
        <v>45317.0</v>
      </c>
      <c r="E104" s="35" t="s">
        <v>277</v>
      </c>
      <c r="F104" s="31" t="s">
        <v>9</v>
      </c>
    </row>
    <row r="105" ht="22.5" customHeight="1">
      <c r="A105" s="31" t="s">
        <v>278</v>
      </c>
      <c r="B105" s="32">
        <v>1.250001628E9</v>
      </c>
      <c r="C105" s="33" t="s">
        <v>279</v>
      </c>
      <c r="D105" s="34">
        <v>45317.0</v>
      </c>
      <c r="E105" s="35" t="s">
        <v>280</v>
      </c>
      <c r="F105" s="31" t="s">
        <v>13</v>
      </c>
    </row>
    <row r="106" ht="22.5" customHeight="1">
      <c r="A106" s="31" t="s">
        <v>281</v>
      </c>
      <c r="B106" s="32">
        <v>1.200006583E9</v>
      </c>
      <c r="C106" s="33" t="s">
        <v>282</v>
      </c>
      <c r="D106" s="34">
        <v>45318.0</v>
      </c>
      <c r="E106" s="35" t="s">
        <v>283</v>
      </c>
      <c r="F106" s="31" t="s">
        <v>13</v>
      </c>
    </row>
    <row r="107" ht="22.5" customHeight="1">
      <c r="A107" s="31" t="s">
        <v>284</v>
      </c>
      <c r="B107" s="32">
        <v>1.250000535E9</v>
      </c>
      <c r="C107" s="33" t="s">
        <v>285</v>
      </c>
      <c r="D107" s="34">
        <v>45318.0</v>
      </c>
      <c r="E107" s="35" t="s">
        <v>286</v>
      </c>
      <c r="F107" s="31" t="s">
        <v>13</v>
      </c>
    </row>
    <row r="108" ht="22.5" customHeight="1">
      <c r="A108" s="31" t="s">
        <v>287</v>
      </c>
      <c r="B108" s="32">
        <v>1.250003004E9</v>
      </c>
      <c r="C108" s="33" t="s">
        <v>288</v>
      </c>
      <c r="D108" s="34">
        <v>45320.0</v>
      </c>
      <c r="E108" s="35" t="s">
        <v>289</v>
      </c>
      <c r="F108" s="31" t="s">
        <v>13</v>
      </c>
    </row>
    <row r="109" ht="22.5" customHeight="1">
      <c r="A109" s="31" t="s">
        <v>290</v>
      </c>
      <c r="B109" s="32">
        <v>1.200008365E9</v>
      </c>
      <c r="C109" s="33" t="s">
        <v>291</v>
      </c>
      <c r="D109" s="34">
        <v>45320.0</v>
      </c>
      <c r="E109" s="35" t="s">
        <v>292</v>
      </c>
      <c r="F109" s="31" t="s">
        <v>13</v>
      </c>
    </row>
    <row r="110" ht="22.5" customHeight="1">
      <c r="A110" s="31" t="s">
        <v>293</v>
      </c>
      <c r="B110" s="32">
        <v>1.250009301E9</v>
      </c>
      <c r="C110" s="33" t="s">
        <v>294</v>
      </c>
      <c r="D110" s="34">
        <v>45320.0</v>
      </c>
      <c r="E110" s="35" t="s">
        <v>296</v>
      </c>
      <c r="F110" s="31" t="s">
        <v>13</v>
      </c>
    </row>
    <row r="111" ht="22.5" customHeight="1">
      <c r="A111" s="31" t="s">
        <v>297</v>
      </c>
      <c r="B111" s="32">
        <v>1.250000104E9</v>
      </c>
      <c r="C111" s="33" t="s">
        <v>298</v>
      </c>
      <c r="D111" s="34">
        <v>45320.0</v>
      </c>
      <c r="E111" s="35" t="s">
        <v>299</v>
      </c>
      <c r="F111" s="31" t="s">
        <v>9</v>
      </c>
    </row>
    <row r="112" ht="22.5" customHeight="1">
      <c r="A112" s="31" t="s">
        <v>300</v>
      </c>
      <c r="B112" s="32">
        <v>1.200006187E9</v>
      </c>
      <c r="C112" s="33" t="s">
        <v>301</v>
      </c>
      <c r="D112" s="34">
        <v>45320.0</v>
      </c>
      <c r="E112" s="35" t="s">
        <v>302</v>
      </c>
      <c r="F112" s="31" t="s">
        <v>9</v>
      </c>
    </row>
    <row r="113" ht="22.5" customHeight="1">
      <c r="A113" s="31" t="s">
        <v>303</v>
      </c>
      <c r="B113" s="32">
        <v>1.250009502E9</v>
      </c>
      <c r="C113" s="33" t="s">
        <v>66</v>
      </c>
      <c r="D113" s="34">
        <v>45321.0</v>
      </c>
      <c r="E113" s="35" t="s">
        <v>304</v>
      </c>
      <c r="F113" s="31" t="s">
        <v>13</v>
      </c>
    </row>
    <row r="114" ht="22.5" customHeight="1">
      <c r="A114" s="31" t="s">
        <v>305</v>
      </c>
      <c r="B114" s="32">
        <v>1.200008778E9</v>
      </c>
      <c r="C114" s="33" t="s">
        <v>306</v>
      </c>
      <c r="D114" s="34">
        <v>45321.0</v>
      </c>
      <c r="E114" s="35" t="s">
        <v>307</v>
      </c>
      <c r="F114" s="31" t="s">
        <v>13</v>
      </c>
    </row>
    <row r="115" ht="22.5" customHeight="1">
      <c r="A115" s="31" t="s">
        <v>308</v>
      </c>
      <c r="B115" s="32">
        <v>1.250009502E9</v>
      </c>
      <c r="C115" s="33" t="s">
        <v>66</v>
      </c>
      <c r="D115" s="34">
        <v>45321.0</v>
      </c>
      <c r="E115" s="35" t="s">
        <v>309</v>
      </c>
      <c r="F115" s="31" t="s">
        <v>13</v>
      </c>
    </row>
    <row r="116" ht="22.5" customHeight="1">
      <c r="A116" s="31" t="s">
        <v>310</v>
      </c>
      <c r="B116" s="32">
        <v>1.250009502E9</v>
      </c>
      <c r="C116" s="33" t="s">
        <v>66</v>
      </c>
      <c r="D116" s="34">
        <v>45321.0</v>
      </c>
      <c r="E116" s="35" t="s">
        <v>311</v>
      </c>
      <c r="F116" s="31" t="s">
        <v>13</v>
      </c>
    </row>
    <row r="117" ht="22.5" customHeight="1">
      <c r="A117" s="31" t="s">
        <v>312</v>
      </c>
      <c r="B117" s="32">
        <v>1.250010029E9</v>
      </c>
      <c r="C117" s="33" t="s">
        <v>313</v>
      </c>
      <c r="D117" s="34">
        <v>45321.0</v>
      </c>
      <c r="E117" s="35" t="s">
        <v>314</v>
      </c>
      <c r="F117" s="31" t="s">
        <v>13</v>
      </c>
    </row>
    <row r="118" ht="22.5" customHeight="1">
      <c r="A118" s="31" t="s">
        <v>315</v>
      </c>
      <c r="B118" s="32">
        <v>1.25000339E9</v>
      </c>
      <c r="C118" s="33" t="s">
        <v>316</v>
      </c>
      <c r="D118" s="34">
        <v>45322.0</v>
      </c>
      <c r="E118" s="35" t="s">
        <v>317</v>
      </c>
      <c r="F118" s="31" t="s">
        <v>13</v>
      </c>
    </row>
    <row r="119" ht="22.5" customHeight="1">
      <c r="A119" s="31" t="s">
        <v>318</v>
      </c>
      <c r="B119" s="32">
        <v>1.250001764E9</v>
      </c>
      <c r="C119" s="33" t="s">
        <v>15</v>
      </c>
      <c r="D119" s="34">
        <v>45322.0</v>
      </c>
      <c r="E119" s="35" t="s">
        <v>319</v>
      </c>
      <c r="F119" s="31" t="s">
        <v>13</v>
      </c>
    </row>
    <row r="120" ht="22.5" customHeight="1">
      <c r="A120" s="31" t="s">
        <v>320</v>
      </c>
      <c r="B120" s="32">
        <v>1.250010303E9</v>
      </c>
      <c r="C120" s="33" t="s">
        <v>321</v>
      </c>
      <c r="D120" s="34">
        <v>45322.0</v>
      </c>
      <c r="E120" s="35" t="s">
        <v>322</v>
      </c>
      <c r="F120" s="31" t="s">
        <v>13</v>
      </c>
    </row>
    <row r="121" ht="22.5" customHeight="1">
      <c r="A121" s="31" t="s">
        <v>323</v>
      </c>
      <c r="B121" s="32">
        <v>1.25000178E9</v>
      </c>
      <c r="C121" s="33" t="s">
        <v>160</v>
      </c>
      <c r="D121" s="34">
        <v>45323.0</v>
      </c>
      <c r="E121" s="35" t="s">
        <v>324</v>
      </c>
      <c r="F121" s="31" t="s">
        <v>13</v>
      </c>
    </row>
    <row r="122" ht="22.5" customHeight="1">
      <c r="A122" s="31" t="s">
        <v>325</v>
      </c>
      <c r="B122" s="32">
        <v>1.2500031E9</v>
      </c>
      <c r="C122" s="33" t="s">
        <v>326</v>
      </c>
      <c r="D122" s="34">
        <v>45323.0</v>
      </c>
      <c r="E122" s="35" t="s">
        <v>327</v>
      </c>
      <c r="F122" s="31" t="s">
        <v>13</v>
      </c>
    </row>
    <row r="123" ht="22.5" customHeight="1">
      <c r="A123" s="31" t="s">
        <v>328</v>
      </c>
      <c r="B123" s="32">
        <v>1.25000178E9</v>
      </c>
      <c r="C123" s="33" t="s">
        <v>160</v>
      </c>
      <c r="D123" s="34">
        <v>45323.0</v>
      </c>
      <c r="E123" s="35" t="s">
        <v>329</v>
      </c>
      <c r="F123" s="31" t="s">
        <v>13</v>
      </c>
    </row>
    <row r="124" ht="22.5" customHeight="1">
      <c r="A124" s="31" t="s">
        <v>330</v>
      </c>
      <c r="B124" s="32">
        <v>1.250009892E9</v>
      </c>
      <c r="C124" s="33" t="s">
        <v>93</v>
      </c>
      <c r="D124" s="34">
        <v>45323.0</v>
      </c>
      <c r="E124" s="35" t="s">
        <v>331</v>
      </c>
      <c r="F124" s="31" t="s">
        <v>13</v>
      </c>
    </row>
    <row r="125" ht="22.5" customHeight="1">
      <c r="A125" s="31" t="s">
        <v>332</v>
      </c>
      <c r="B125" s="32">
        <v>1.250001755E9</v>
      </c>
      <c r="C125" s="33" t="s">
        <v>333</v>
      </c>
      <c r="D125" s="34">
        <v>45323.0</v>
      </c>
      <c r="E125" s="35" t="s">
        <v>334</v>
      </c>
      <c r="F125" s="31" t="s">
        <v>13</v>
      </c>
    </row>
    <row r="126" ht="22.5" customHeight="1">
      <c r="A126" s="31" t="s">
        <v>335</v>
      </c>
      <c r="B126" s="32">
        <v>1.250004611E9</v>
      </c>
      <c r="C126" s="33" t="s">
        <v>336</v>
      </c>
      <c r="D126" s="34">
        <v>45323.0</v>
      </c>
      <c r="E126" s="35" t="s">
        <v>302</v>
      </c>
      <c r="F126" s="31" t="s">
        <v>9</v>
      </c>
    </row>
    <row r="127" ht="22.5" customHeight="1">
      <c r="A127" s="31" t="s">
        <v>337</v>
      </c>
      <c r="B127" s="32">
        <v>1.250000094E9</v>
      </c>
      <c r="C127" s="33" t="s">
        <v>338</v>
      </c>
      <c r="D127" s="34">
        <v>45324.0</v>
      </c>
      <c r="E127" s="35" t="s">
        <v>339</v>
      </c>
      <c r="F127" s="31" t="s">
        <v>9</v>
      </c>
    </row>
    <row r="128" ht="22.5" customHeight="1">
      <c r="A128" s="31" t="s">
        <v>340</v>
      </c>
      <c r="B128" s="32">
        <v>1.250001764E9</v>
      </c>
      <c r="C128" s="33" t="s">
        <v>15</v>
      </c>
      <c r="D128" s="34">
        <v>45324.0</v>
      </c>
      <c r="E128" s="35" t="s">
        <v>253</v>
      </c>
      <c r="F128" s="31" t="s">
        <v>13</v>
      </c>
    </row>
    <row r="129" ht="22.5" customHeight="1">
      <c r="A129" s="31" t="s">
        <v>341</v>
      </c>
      <c r="B129" s="32">
        <v>1.25000326E9</v>
      </c>
      <c r="C129" s="33" t="s">
        <v>342</v>
      </c>
      <c r="D129" s="34">
        <v>45324.0</v>
      </c>
      <c r="E129" s="35" t="s">
        <v>343</v>
      </c>
      <c r="F129" s="31" t="s">
        <v>13</v>
      </c>
    </row>
    <row r="130" ht="22.5" customHeight="1">
      <c r="A130" s="31" t="s">
        <v>344</v>
      </c>
      <c r="B130" s="32">
        <v>1.250004201E9</v>
      </c>
      <c r="C130" s="33" t="s">
        <v>345</v>
      </c>
      <c r="D130" s="34">
        <v>45324.0</v>
      </c>
      <c r="E130" s="35" t="s">
        <v>346</v>
      </c>
      <c r="F130" s="31" t="s">
        <v>9</v>
      </c>
    </row>
    <row r="131" ht="22.5" customHeight="1">
      <c r="A131" s="31" t="s">
        <v>347</v>
      </c>
      <c r="B131" s="32">
        <v>1.250000174E9</v>
      </c>
      <c r="C131" s="33" t="s">
        <v>348</v>
      </c>
      <c r="D131" s="34">
        <v>45325.0</v>
      </c>
      <c r="E131" s="35" t="s">
        <v>349</v>
      </c>
      <c r="F131" s="31" t="s">
        <v>13</v>
      </c>
    </row>
    <row r="132" ht="22.5" customHeight="1">
      <c r="A132" s="31" t="s">
        <v>350</v>
      </c>
      <c r="B132" s="32">
        <v>1.250001764E9</v>
      </c>
      <c r="C132" s="33" t="s">
        <v>15</v>
      </c>
      <c r="D132" s="34">
        <v>45325.0</v>
      </c>
      <c r="E132" s="35" t="s">
        <v>351</v>
      </c>
      <c r="F132" s="31" t="s">
        <v>13</v>
      </c>
    </row>
    <row r="133" ht="22.5" customHeight="1">
      <c r="A133" s="31" t="s">
        <v>352</v>
      </c>
      <c r="B133" s="32">
        <v>1.200007752E9</v>
      </c>
      <c r="C133" s="33" t="s">
        <v>181</v>
      </c>
      <c r="D133" s="34">
        <v>45325.0</v>
      </c>
      <c r="E133" s="35" t="s">
        <v>353</v>
      </c>
      <c r="F133" s="31" t="s">
        <v>13</v>
      </c>
    </row>
    <row r="134" ht="22.5" customHeight="1">
      <c r="A134" s="31" t="s">
        <v>354</v>
      </c>
      <c r="B134" s="32">
        <v>1.250001741E9</v>
      </c>
      <c r="C134" s="33" t="s">
        <v>52</v>
      </c>
      <c r="D134" s="34">
        <v>45327.0</v>
      </c>
      <c r="E134" s="35" t="s">
        <v>355</v>
      </c>
      <c r="F134" s="31" t="s">
        <v>9</v>
      </c>
    </row>
    <row r="135" ht="22.5" customHeight="1">
      <c r="A135" s="31" t="s">
        <v>356</v>
      </c>
      <c r="B135" s="32">
        <v>1.250002059E9</v>
      </c>
      <c r="C135" s="33" t="s">
        <v>148</v>
      </c>
      <c r="D135" s="34">
        <v>45327.0</v>
      </c>
      <c r="E135" s="35" t="s">
        <v>357</v>
      </c>
      <c r="F135" s="31" t="s">
        <v>13</v>
      </c>
    </row>
    <row r="136" ht="22.5" customHeight="1">
      <c r="A136" s="31" t="s">
        <v>358</v>
      </c>
      <c r="B136" s="32">
        <v>1.250002839E9</v>
      </c>
      <c r="C136" s="33" t="s">
        <v>359</v>
      </c>
      <c r="D136" s="34">
        <v>45327.0</v>
      </c>
      <c r="E136" s="35" t="s">
        <v>360</v>
      </c>
      <c r="F136" s="31" t="s">
        <v>9</v>
      </c>
    </row>
    <row r="137" ht="22.5" customHeight="1">
      <c r="A137" s="31" t="s">
        <v>361</v>
      </c>
      <c r="B137" s="32">
        <v>1.250010137E9</v>
      </c>
      <c r="C137" s="33" t="s">
        <v>362</v>
      </c>
      <c r="D137" s="34">
        <v>45327.0</v>
      </c>
      <c r="E137" s="35" t="s">
        <v>363</v>
      </c>
      <c r="F137" s="31" t="s">
        <v>13</v>
      </c>
    </row>
    <row r="138" ht="22.5" customHeight="1">
      <c r="A138" s="31" t="s">
        <v>364</v>
      </c>
      <c r="B138" s="32">
        <v>1.250002839E9</v>
      </c>
      <c r="C138" s="33" t="s">
        <v>359</v>
      </c>
      <c r="D138" s="34">
        <v>45327.0</v>
      </c>
      <c r="E138" s="35" t="s">
        <v>365</v>
      </c>
      <c r="F138" s="31" t="s">
        <v>9</v>
      </c>
    </row>
    <row r="139" ht="22.5" customHeight="1">
      <c r="A139" s="31" t="s">
        <v>366</v>
      </c>
      <c r="B139" s="32">
        <v>1.200009067E9</v>
      </c>
      <c r="C139" s="33" t="s">
        <v>46</v>
      </c>
      <c r="D139" s="34">
        <v>45327.0</v>
      </c>
      <c r="E139" s="35" t="s">
        <v>367</v>
      </c>
      <c r="F139" s="31" t="s">
        <v>13</v>
      </c>
    </row>
    <row r="140" ht="22.5" customHeight="1">
      <c r="A140" s="31" t="s">
        <v>368</v>
      </c>
      <c r="B140" s="32">
        <v>1.250002839E9</v>
      </c>
      <c r="C140" s="33" t="s">
        <v>359</v>
      </c>
      <c r="D140" s="34">
        <v>45327.0</v>
      </c>
      <c r="E140" s="35" t="s">
        <v>369</v>
      </c>
      <c r="F140" s="31" t="s">
        <v>9</v>
      </c>
    </row>
    <row r="141" ht="22.5" customHeight="1">
      <c r="A141" s="31" t="s">
        <v>370</v>
      </c>
      <c r="B141" s="32">
        <v>1.250002839E9</v>
      </c>
      <c r="C141" s="33" t="s">
        <v>359</v>
      </c>
      <c r="D141" s="34">
        <v>45327.0</v>
      </c>
      <c r="E141" s="35" t="s">
        <v>371</v>
      </c>
      <c r="F141" s="31" t="s">
        <v>9</v>
      </c>
    </row>
    <row r="142" ht="22.5" customHeight="1">
      <c r="A142" s="31" t="s">
        <v>372</v>
      </c>
      <c r="B142" s="32">
        <v>1.250002839E9</v>
      </c>
      <c r="C142" s="33" t="s">
        <v>359</v>
      </c>
      <c r="D142" s="34">
        <v>45327.0</v>
      </c>
      <c r="E142" s="35" t="s">
        <v>373</v>
      </c>
      <c r="F142" s="31" t="s">
        <v>9</v>
      </c>
    </row>
    <row r="143" ht="22.5" customHeight="1">
      <c r="A143" s="31" t="s">
        <v>374</v>
      </c>
      <c r="B143" s="32">
        <v>1.250002839E9</v>
      </c>
      <c r="C143" s="33" t="s">
        <v>359</v>
      </c>
      <c r="D143" s="34">
        <v>45327.0</v>
      </c>
      <c r="E143" s="35" t="s">
        <v>375</v>
      </c>
      <c r="F143" s="31" t="s">
        <v>9</v>
      </c>
    </row>
    <row r="144" ht="22.5" customHeight="1">
      <c r="A144" s="31" t="s">
        <v>376</v>
      </c>
      <c r="B144" s="32">
        <v>1.250009305E9</v>
      </c>
      <c r="C144" s="33" t="s">
        <v>377</v>
      </c>
      <c r="D144" s="34">
        <v>45327.0</v>
      </c>
      <c r="E144" s="35" t="s">
        <v>378</v>
      </c>
      <c r="F144" s="31" t="s">
        <v>13</v>
      </c>
    </row>
    <row r="145" ht="22.5" customHeight="1">
      <c r="A145" s="31" t="s">
        <v>379</v>
      </c>
      <c r="B145" s="32">
        <v>1.250002839E9</v>
      </c>
      <c r="C145" s="33" t="s">
        <v>359</v>
      </c>
      <c r="D145" s="34">
        <v>45327.0</v>
      </c>
      <c r="E145" s="35" t="s">
        <v>380</v>
      </c>
      <c r="F145" s="31" t="s">
        <v>9</v>
      </c>
    </row>
    <row r="146" ht="22.5" customHeight="1">
      <c r="A146" s="31" t="s">
        <v>381</v>
      </c>
      <c r="B146" s="32">
        <v>1.250002839E9</v>
      </c>
      <c r="C146" s="33" t="s">
        <v>359</v>
      </c>
      <c r="D146" s="34">
        <v>45327.0</v>
      </c>
      <c r="E146" s="35" t="s">
        <v>382</v>
      </c>
      <c r="F146" s="31" t="s">
        <v>9</v>
      </c>
    </row>
    <row r="147" ht="22.5" customHeight="1">
      <c r="A147" s="31" t="s">
        <v>383</v>
      </c>
      <c r="B147" s="32">
        <v>1.250002839E9</v>
      </c>
      <c r="C147" s="33" t="s">
        <v>359</v>
      </c>
      <c r="D147" s="34">
        <v>45327.0</v>
      </c>
      <c r="E147" s="35" t="s">
        <v>384</v>
      </c>
      <c r="F147" s="31" t="s">
        <v>9</v>
      </c>
    </row>
    <row r="148" ht="22.5" customHeight="1">
      <c r="A148" s="31" t="s">
        <v>385</v>
      </c>
      <c r="B148" s="32">
        <v>1.250002839E9</v>
      </c>
      <c r="C148" s="33" t="s">
        <v>359</v>
      </c>
      <c r="D148" s="34">
        <v>45327.0</v>
      </c>
      <c r="E148" s="35" t="s">
        <v>386</v>
      </c>
      <c r="F148" s="31" t="s">
        <v>9</v>
      </c>
    </row>
    <row r="149" ht="22.5" customHeight="1">
      <c r="A149" s="31" t="s">
        <v>387</v>
      </c>
      <c r="B149" s="32">
        <v>1.250002839E9</v>
      </c>
      <c r="C149" s="33" t="s">
        <v>359</v>
      </c>
      <c r="D149" s="34">
        <v>45327.0</v>
      </c>
      <c r="E149" s="35" t="s">
        <v>388</v>
      </c>
      <c r="F149" s="31" t="s">
        <v>9</v>
      </c>
    </row>
    <row r="150" ht="22.5" customHeight="1">
      <c r="A150" s="31" t="s">
        <v>389</v>
      </c>
      <c r="B150" s="32">
        <v>1.250002839E9</v>
      </c>
      <c r="C150" s="33" t="s">
        <v>359</v>
      </c>
      <c r="D150" s="34">
        <v>45327.0</v>
      </c>
      <c r="E150" s="35" t="s">
        <v>390</v>
      </c>
      <c r="F150" s="31" t="s">
        <v>9</v>
      </c>
    </row>
    <row r="151" ht="22.5" customHeight="1">
      <c r="A151" s="31" t="s">
        <v>391</v>
      </c>
      <c r="B151" s="32">
        <v>1.250002839E9</v>
      </c>
      <c r="C151" s="33" t="s">
        <v>359</v>
      </c>
      <c r="D151" s="34">
        <v>45327.0</v>
      </c>
      <c r="E151" s="35" t="s">
        <v>392</v>
      </c>
      <c r="F151" s="31" t="s">
        <v>9</v>
      </c>
    </row>
    <row r="152" ht="22.5" customHeight="1">
      <c r="A152" s="31" t="s">
        <v>393</v>
      </c>
      <c r="B152" s="32">
        <v>1.250002839E9</v>
      </c>
      <c r="C152" s="33" t="s">
        <v>359</v>
      </c>
      <c r="D152" s="34">
        <v>45327.0</v>
      </c>
      <c r="E152" s="35" t="s">
        <v>394</v>
      </c>
      <c r="F152" s="31" t="s">
        <v>9</v>
      </c>
    </row>
    <row r="153" ht="22.5" customHeight="1">
      <c r="A153" s="31" t="s">
        <v>395</v>
      </c>
      <c r="B153" s="32">
        <v>1.250001513E9</v>
      </c>
      <c r="C153" s="33" t="s">
        <v>396</v>
      </c>
      <c r="D153" s="34">
        <v>45327.0</v>
      </c>
      <c r="E153" s="35" t="s">
        <v>397</v>
      </c>
      <c r="F153" s="31" t="s">
        <v>9</v>
      </c>
    </row>
    <row r="154" ht="22.5" customHeight="1">
      <c r="A154" s="31" t="s">
        <v>398</v>
      </c>
      <c r="B154" s="32">
        <v>1.250002839E9</v>
      </c>
      <c r="C154" s="33" t="s">
        <v>359</v>
      </c>
      <c r="D154" s="34">
        <v>45327.0</v>
      </c>
      <c r="E154" s="35" t="s">
        <v>399</v>
      </c>
      <c r="F154" s="31" t="s">
        <v>9</v>
      </c>
    </row>
    <row r="155" ht="22.5" customHeight="1">
      <c r="A155" s="31" t="s">
        <v>400</v>
      </c>
      <c r="B155" s="32">
        <v>1.250002839E9</v>
      </c>
      <c r="C155" s="33" t="s">
        <v>359</v>
      </c>
      <c r="D155" s="34">
        <v>45328.0</v>
      </c>
      <c r="E155" s="35" t="s">
        <v>401</v>
      </c>
      <c r="F155" s="31" t="s">
        <v>9</v>
      </c>
    </row>
    <row r="156" ht="22.5" customHeight="1">
      <c r="A156" s="31" t="s">
        <v>402</v>
      </c>
      <c r="B156" s="32">
        <v>1.250009984E9</v>
      </c>
      <c r="C156" s="33" t="s">
        <v>403</v>
      </c>
      <c r="D156" s="34">
        <v>45328.0</v>
      </c>
      <c r="E156" s="35" t="s">
        <v>404</v>
      </c>
      <c r="F156" s="31" t="s">
        <v>13</v>
      </c>
    </row>
    <row r="157" ht="22.5" customHeight="1">
      <c r="A157" s="31" t="s">
        <v>405</v>
      </c>
      <c r="B157" s="32">
        <v>1.25001033E9</v>
      </c>
      <c r="C157" s="33" t="s">
        <v>406</v>
      </c>
      <c r="D157" s="34">
        <v>45328.0</v>
      </c>
      <c r="E157" s="35" t="s">
        <v>407</v>
      </c>
      <c r="F157" s="31" t="s">
        <v>13</v>
      </c>
    </row>
    <row r="158" ht="22.5" customHeight="1">
      <c r="A158" s="31" t="s">
        <v>408</v>
      </c>
      <c r="B158" s="32">
        <v>1.250002839E9</v>
      </c>
      <c r="C158" s="33" t="s">
        <v>359</v>
      </c>
      <c r="D158" s="34">
        <v>45328.0</v>
      </c>
      <c r="E158" s="35" t="s">
        <v>409</v>
      </c>
      <c r="F158" s="31" t="s">
        <v>9</v>
      </c>
    </row>
    <row r="159" ht="22.5" customHeight="1">
      <c r="A159" s="31" t="s">
        <v>410</v>
      </c>
      <c r="B159" s="32">
        <v>1.250000191E9</v>
      </c>
      <c r="C159" s="33" t="s">
        <v>411</v>
      </c>
      <c r="D159" s="34">
        <v>45328.0</v>
      </c>
      <c r="E159" s="35" t="s">
        <v>412</v>
      </c>
      <c r="F159" s="31" t="s">
        <v>9</v>
      </c>
    </row>
    <row r="160" ht="22.5" customHeight="1">
      <c r="A160" s="31" t="s">
        <v>413</v>
      </c>
      <c r="B160" s="32">
        <v>1.250002839E9</v>
      </c>
      <c r="C160" s="33" t="s">
        <v>359</v>
      </c>
      <c r="D160" s="34">
        <v>45328.0</v>
      </c>
      <c r="E160" s="35" t="s">
        <v>414</v>
      </c>
      <c r="F160" s="31" t="s">
        <v>9</v>
      </c>
    </row>
    <row r="161" ht="22.5" customHeight="1">
      <c r="A161" s="31" t="s">
        <v>415</v>
      </c>
      <c r="B161" s="32">
        <v>1.250002839E9</v>
      </c>
      <c r="C161" s="33" t="s">
        <v>359</v>
      </c>
      <c r="D161" s="34">
        <v>45328.0</v>
      </c>
      <c r="E161" s="35" t="s">
        <v>416</v>
      </c>
      <c r="F161" s="31" t="s">
        <v>9</v>
      </c>
    </row>
    <row r="162" ht="22.5" customHeight="1">
      <c r="A162" s="31" t="s">
        <v>417</v>
      </c>
      <c r="B162" s="32">
        <v>1.250000505E9</v>
      </c>
      <c r="C162" s="33" t="s">
        <v>11</v>
      </c>
      <c r="D162" s="34">
        <v>45329.0</v>
      </c>
      <c r="E162" s="35" t="s">
        <v>418</v>
      </c>
      <c r="F162" s="31" t="s">
        <v>13</v>
      </c>
    </row>
    <row r="163" ht="22.5" customHeight="1">
      <c r="A163" s="31" t="s">
        <v>419</v>
      </c>
      <c r="B163" s="32">
        <v>1.200007409E9</v>
      </c>
      <c r="C163" s="33" t="s">
        <v>128</v>
      </c>
      <c r="D163" s="34">
        <v>45329.0</v>
      </c>
      <c r="E163" s="35" t="s">
        <v>420</v>
      </c>
      <c r="F163" s="31" t="s">
        <v>13</v>
      </c>
    </row>
    <row r="164" ht="22.5" customHeight="1">
      <c r="A164" s="31" t="s">
        <v>421</v>
      </c>
      <c r="B164" s="32">
        <v>1.250003924E9</v>
      </c>
      <c r="C164" s="33" t="s">
        <v>422</v>
      </c>
      <c r="D164" s="34">
        <v>45329.0</v>
      </c>
      <c r="E164" s="35" t="s">
        <v>423</v>
      </c>
      <c r="F164" s="31" t="s">
        <v>13</v>
      </c>
    </row>
    <row r="165" ht="22.5" customHeight="1">
      <c r="A165" s="31" t="s">
        <v>425</v>
      </c>
      <c r="B165" s="32">
        <v>1.250001764E9</v>
      </c>
      <c r="C165" s="33" t="s">
        <v>15</v>
      </c>
      <c r="D165" s="34">
        <v>45330.0</v>
      </c>
      <c r="E165" s="35" t="s">
        <v>35</v>
      </c>
      <c r="F165" s="31" t="s">
        <v>13</v>
      </c>
    </row>
    <row r="166" ht="22.5" customHeight="1">
      <c r="A166" s="31" t="s">
        <v>426</v>
      </c>
      <c r="B166" s="32">
        <v>1.250001764E9</v>
      </c>
      <c r="C166" s="33" t="s">
        <v>15</v>
      </c>
      <c r="D166" s="34">
        <v>45330.0</v>
      </c>
      <c r="E166" s="35" t="s">
        <v>427</v>
      </c>
      <c r="F166" s="31" t="s">
        <v>13</v>
      </c>
    </row>
    <row r="167" ht="22.5" customHeight="1">
      <c r="A167" s="31" t="s">
        <v>428</v>
      </c>
      <c r="B167" s="32">
        <v>1.250000438E9</v>
      </c>
      <c r="C167" s="33" t="s">
        <v>119</v>
      </c>
      <c r="D167" s="34">
        <v>45330.0</v>
      </c>
      <c r="E167" s="35" t="s">
        <v>429</v>
      </c>
      <c r="F167" s="31" t="s">
        <v>9</v>
      </c>
    </row>
    <row r="168" ht="22.5" customHeight="1">
      <c r="A168" s="31" t="s">
        <v>430</v>
      </c>
      <c r="B168" s="32">
        <v>1.250001319E9</v>
      </c>
      <c r="C168" s="33" t="s">
        <v>145</v>
      </c>
      <c r="D168" s="34">
        <v>45330.0</v>
      </c>
      <c r="E168" s="35" t="s">
        <v>431</v>
      </c>
      <c r="F168" s="31" t="s">
        <v>13</v>
      </c>
    </row>
    <row r="169" ht="22.5" customHeight="1">
      <c r="A169" s="31" t="s">
        <v>432</v>
      </c>
      <c r="B169" s="32">
        <v>1.250001192E9</v>
      </c>
      <c r="C169" s="33" t="s">
        <v>433</v>
      </c>
      <c r="D169" s="34">
        <v>45330.0</v>
      </c>
      <c r="E169" s="35" t="s">
        <v>434</v>
      </c>
      <c r="F169" s="31" t="s">
        <v>9</v>
      </c>
    </row>
    <row r="170" ht="22.5" customHeight="1">
      <c r="A170" s="31" t="s">
        <v>435</v>
      </c>
      <c r="B170" s="32">
        <v>1.250001434E9</v>
      </c>
      <c r="C170" s="33" t="s">
        <v>276</v>
      </c>
      <c r="D170" s="34">
        <v>45330.0</v>
      </c>
      <c r="E170" s="35" t="s">
        <v>436</v>
      </c>
      <c r="F170" s="31" t="s">
        <v>9</v>
      </c>
    </row>
    <row r="171" ht="22.5" customHeight="1">
      <c r="A171" s="31" t="s">
        <v>437</v>
      </c>
      <c r="B171" s="32">
        <v>1.250000103E9</v>
      </c>
      <c r="C171" s="33" t="s">
        <v>438</v>
      </c>
      <c r="D171" s="34">
        <v>45330.0</v>
      </c>
      <c r="E171" s="35" t="s">
        <v>439</v>
      </c>
      <c r="F171" s="31" t="s">
        <v>9</v>
      </c>
    </row>
    <row r="172" ht="22.5" customHeight="1">
      <c r="A172" s="31" t="s">
        <v>440</v>
      </c>
      <c r="B172" s="32">
        <v>1.250001513E9</v>
      </c>
      <c r="C172" s="33" t="s">
        <v>396</v>
      </c>
      <c r="D172" s="34">
        <v>45331.0</v>
      </c>
      <c r="E172" s="35" t="s">
        <v>441</v>
      </c>
      <c r="F172" s="31" t="s">
        <v>9</v>
      </c>
    </row>
    <row r="173" ht="22.5" customHeight="1">
      <c r="A173" s="31" t="s">
        <v>442</v>
      </c>
      <c r="B173" s="32">
        <v>1.25000248E9</v>
      </c>
      <c r="C173" s="33" t="s">
        <v>443</v>
      </c>
      <c r="D173" s="34">
        <v>45331.0</v>
      </c>
      <c r="E173" s="35" t="s">
        <v>444</v>
      </c>
      <c r="F173" s="31" t="s">
        <v>13</v>
      </c>
    </row>
    <row r="174" ht="22.5" customHeight="1">
      <c r="A174" s="31" t="s">
        <v>445</v>
      </c>
      <c r="B174" s="32">
        <v>1.250002839E9</v>
      </c>
      <c r="C174" s="33" t="s">
        <v>359</v>
      </c>
      <c r="D174" s="34">
        <v>45331.0</v>
      </c>
      <c r="E174" s="35" t="s">
        <v>446</v>
      </c>
      <c r="F174" s="31" t="s">
        <v>9</v>
      </c>
    </row>
    <row r="175" ht="22.5" customHeight="1">
      <c r="A175" s="31" t="s">
        <v>447</v>
      </c>
      <c r="B175" s="32">
        <v>1.250002839E9</v>
      </c>
      <c r="C175" s="33" t="s">
        <v>359</v>
      </c>
      <c r="D175" s="34">
        <v>45331.0</v>
      </c>
      <c r="E175" s="35" t="s">
        <v>448</v>
      </c>
      <c r="F175" s="31" t="s">
        <v>9</v>
      </c>
    </row>
    <row r="176" ht="22.5" customHeight="1">
      <c r="A176" s="31" t="s">
        <v>449</v>
      </c>
      <c r="B176" s="32">
        <v>1.250009892E9</v>
      </c>
      <c r="C176" s="33" t="s">
        <v>93</v>
      </c>
      <c r="D176" s="34">
        <v>45334.0</v>
      </c>
      <c r="E176" s="35" t="s">
        <v>450</v>
      </c>
      <c r="F176" s="31" t="s">
        <v>13</v>
      </c>
    </row>
    <row r="177" ht="22.5" customHeight="1">
      <c r="A177" s="31" t="s">
        <v>451</v>
      </c>
      <c r="B177" s="32">
        <v>1.250009745E9</v>
      </c>
      <c r="C177" s="33" t="s">
        <v>84</v>
      </c>
      <c r="D177" s="34">
        <v>45334.0</v>
      </c>
      <c r="E177" s="35" t="s">
        <v>452</v>
      </c>
      <c r="F177" s="31" t="s">
        <v>13</v>
      </c>
    </row>
    <row r="178" ht="22.5" customHeight="1">
      <c r="A178" s="31" t="s">
        <v>453</v>
      </c>
      <c r="B178" s="32">
        <v>1.200008893E9</v>
      </c>
      <c r="C178" s="33" t="s">
        <v>454</v>
      </c>
      <c r="D178" s="34">
        <v>45334.0</v>
      </c>
      <c r="E178" s="35" t="s">
        <v>455</v>
      </c>
      <c r="F178" s="31" t="s">
        <v>13</v>
      </c>
    </row>
    <row r="179" ht="22.5" customHeight="1">
      <c r="A179" s="31" t="s">
        <v>456</v>
      </c>
      <c r="B179" s="32">
        <v>1.250009892E9</v>
      </c>
      <c r="C179" s="33" t="s">
        <v>93</v>
      </c>
      <c r="D179" s="34">
        <v>45334.0</v>
      </c>
      <c r="E179" s="35" t="s">
        <v>457</v>
      </c>
      <c r="F179" s="31" t="s">
        <v>13</v>
      </c>
    </row>
    <row r="180" ht="22.5" customHeight="1">
      <c r="A180" s="31" t="s">
        <v>458</v>
      </c>
      <c r="B180" s="32">
        <v>1.250009892E9</v>
      </c>
      <c r="C180" s="33" t="s">
        <v>93</v>
      </c>
      <c r="D180" s="34">
        <v>45334.0</v>
      </c>
      <c r="E180" s="35" t="s">
        <v>459</v>
      </c>
      <c r="F180" s="31" t="s">
        <v>13</v>
      </c>
    </row>
    <row r="181" ht="22.5" customHeight="1">
      <c r="A181" s="31" t="s">
        <v>460</v>
      </c>
      <c r="B181" s="32">
        <v>1.200008893E9</v>
      </c>
      <c r="C181" s="33" t="s">
        <v>454</v>
      </c>
      <c r="D181" s="34">
        <v>45334.0</v>
      </c>
      <c r="E181" s="35" t="s">
        <v>461</v>
      </c>
      <c r="F181" s="31" t="s">
        <v>13</v>
      </c>
    </row>
    <row r="182" ht="22.5" customHeight="1">
      <c r="A182" s="31" t="s">
        <v>462</v>
      </c>
      <c r="B182" s="32">
        <v>1.200007456E9</v>
      </c>
      <c r="C182" s="33" t="s">
        <v>463</v>
      </c>
      <c r="D182" s="34">
        <v>45334.0</v>
      </c>
      <c r="E182" s="35" t="s">
        <v>464</v>
      </c>
      <c r="F182" s="31" t="s">
        <v>9</v>
      </c>
    </row>
    <row r="183" ht="22.5" customHeight="1">
      <c r="A183" s="31" t="s">
        <v>465</v>
      </c>
      <c r="B183" s="32">
        <v>1.2000083E9</v>
      </c>
      <c r="C183" s="33" t="s">
        <v>466</v>
      </c>
      <c r="D183" s="34">
        <v>45335.0</v>
      </c>
      <c r="E183" s="35" t="s">
        <v>467</v>
      </c>
      <c r="F183" s="31" t="s">
        <v>13</v>
      </c>
    </row>
    <row r="184" ht="22.5" customHeight="1">
      <c r="A184" s="31" t="s">
        <v>468</v>
      </c>
      <c r="B184" s="32">
        <v>1.2000083E9</v>
      </c>
      <c r="C184" s="33" t="s">
        <v>466</v>
      </c>
      <c r="D184" s="34">
        <v>45335.0</v>
      </c>
      <c r="E184" s="35" t="s">
        <v>469</v>
      </c>
      <c r="F184" s="31" t="s">
        <v>13</v>
      </c>
    </row>
    <row r="185" ht="22.5" customHeight="1">
      <c r="A185" s="31" t="s">
        <v>470</v>
      </c>
      <c r="B185" s="32">
        <v>1.250000077E9</v>
      </c>
      <c r="C185" s="33" t="s">
        <v>471</v>
      </c>
      <c r="D185" s="34">
        <v>45335.0</v>
      </c>
      <c r="E185" s="35" t="s">
        <v>472</v>
      </c>
      <c r="F185" s="31" t="s">
        <v>9</v>
      </c>
    </row>
    <row r="186" ht="22.5" customHeight="1">
      <c r="A186" s="31" t="s">
        <v>473</v>
      </c>
      <c r="B186" s="32">
        <v>1.250000288E9</v>
      </c>
      <c r="C186" s="33" t="s">
        <v>474</v>
      </c>
      <c r="D186" s="34">
        <v>45335.0</v>
      </c>
      <c r="E186" s="35" t="s">
        <v>475</v>
      </c>
      <c r="F186" s="31" t="s">
        <v>13</v>
      </c>
    </row>
    <row r="187" ht="22.5" customHeight="1">
      <c r="A187" s="31" t="s">
        <v>476</v>
      </c>
      <c r="B187" s="32">
        <v>1.250000288E9</v>
      </c>
      <c r="C187" s="33" t="s">
        <v>474</v>
      </c>
      <c r="D187" s="34">
        <v>45335.0</v>
      </c>
      <c r="E187" s="35" t="s">
        <v>477</v>
      </c>
      <c r="F187" s="31" t="s">
        <v>13</v>
      </c>
    </row>
    <row r="188" ht="22.5" customHeight="1">
      <c r="A188" s="31" t="s">
        <v>478</v>
      </c>
      <c r="B188" s="32">
        <v>1.250001499E9</v>
      </c>
      <c r="C188" s="33" t="s">
        <v>479</v>
      </c>
      <c r="D188" s="34">
        <v>45335.0</v>
      </c>
      <c r="E188" s="35" t="s">
        <v>480</v>
      </c>
      <c r="F188" s="31" t="s">
        <v>13</v>
      </c>
    </row>
    <row r="189" ht="22.5" customHeight="1">
      <c r="A189" s="31" t="s">
        <v>481</v>
      </c>
      <c r="B189" s="32">
        <v>1.250010373E9</v>
      </c>
      <c r="C189" s="33" t="s">
        <v>482</v>
      </c>
      <c r="D189" s="34">
        <v>45335.0</v>
      </c>
      <c r="E189" s="35" t="s">
        <v>483</v>
      </c>
      <c r="F189" s="31" t="s">
        <v>9</v>
      </c>
    </row>
    <row r="190" ht="22.5" customHeight="1">
      <c r="A190" s="31" t="s">
        <v>484</v>
      </c>
      <c r="B190" s="32">
        <v>1.250000742E9</v>
      </c>
      <c r="C190" s="33" t="s">
        <v>485</v>
      </c>
      <c r="D190" s="34">
        <v>45335.0</v>
      </c>
      <c r="E190" s="35" t="s">
        <v>486</v>
      </c>
      <c r="F190" s="31" t="s">
        <v>13</v>
      </c>
    </row>
    <row r="191" ht="22.5" customHeight="1">
      <c r="A191" s="31" t="s">
        <v>487</v>
      </c>
      <c r="B191" s="32">
        <v>1.25000167E9</v>
      </c>
      <c r="C191" s="33" t="s">
        <v>488</v>
      </c>
      <c r="D191" s="34">
        <v>45335.0</v>
      </c>
      <c r="E191" s="35" t="s">
        <v>489</v>
      </c>
      <c r="F191" s="31" t="s">
        <v>13</v>
      </c>
    </row>
    <row r="192" ht="22.5" customHeight="1">
      <c r="A192" s="31" t="s">
        <v>490</v>
      </c>
      <c r="B192" s="32">
        <v>1.2000083E9</v>
      </c>
      <c r="C192" s="33" t="s">
        <v>466</v>
      </c>
      <c r="D192" s="34">
        <v>45336.0</v>
      </c>
      <c r="E192" s="35" t="s">
        <v>491</v>
      </c>
      <c r="F192" s="31" t="s">
        <v>13</v>
      </c>
    </row>
    <row r="193" ht="22.5" customHeight="1">
      <c r="A193" s="31" t="s">
        <v>492</v>
      </c>
      <c r="B193" s="32">
        <v>1.250001764E9</v>
      </c>
      <c r="C193" s="33" t="s">
        <v>15</v>
      </c>
      <c r="D193" s="34">
        <v>45336.0</v>
      </c>
      <c r="E193" s="35" t="s">
        <v>493</v>
      </c>
      <c r="F193" s="31" t="s">
        <v>13</v>
      </c>
    </row>
    <row r="194" ht="22.5" customHeight="1">
      <c r="A194" s="31" t="s">
        <v>494</v>
      </c>
      <c r="B194" s="32">
        <v>1.250004426E9</v>
      </c>
      <c r="C194" s="33" t="s">
        <v>495</v>
      </c>
      <c r="D194" s="34">
        <v>45336.0</v>
      </c>
      <c r="E194" s="35" t="s">
        <v>496</v>
      </c>
      <c r="F194" s="31" t="s">
        <v>13</v>
      </c>
    </row>
    <row r="195" ht="22.5" customHeight="1">
      <c r="A195" s="31" t="s">
        <v>497</v>
      </c>
      <c r="B195" s="32">
        <v>1.250000452E9</v>
      </c>
      <c r="C195" s="33" t="s">
        <v>498</v>
      </c>
      <c r="D195" s="34">
        <v>45336.0</v>
      </c>
      <c r="E195" s="35" t="s">
        <v>499</v>
      </c>
      <c r="F195" s="31" t="s">
        <v>9</v>
      </c>
    </row>
    <row r="196" ht="22.5" customHeight="1">
      <c r="A196" s="31" t="s">
        <v>500</v>
      </c>
      <c r="B196" s="32">
        <v>1.250002755E9</v>
      </c>
      <c r="C196" s="33" t="s">
        <v>501</v>
      </c>
      <c r="D196" s="34">
        <v>45336.0</v>
      </c>
      <c r="E196" s="35" t="s">
        <v>502</v>
      </c>
      <c r="F196" s="31" t="s">
        <v>9</v>
      </c>
    </row>
    <row r="197" ht="22.5" customHeight="1">
      <c r="A197" s="31" t="s">
        <v>503</v>
      </c>
      <c r="B197" s="32">
        <v>1.250004426E9</v>
      </c>
      <c r="C197" s="33" t="s">
        <v>495</v>
      </c>
      <c r="D197" s="34">
        <v>45336.0</v>
      </c>
      <c r="E197" s="35" t="s">
        <v>504</v>
      </c>
      <c r="F197" s="31" t="s">
        <v>13</v>
      </c>
    </row>
    <row r="198" ht="22.5" customHeight="1">
      <c r="A198" s="31" t="s">
        <v>505</v>
      </c>
      <c r="B198" s="32">
        <v>1.250009928E9</v>
      </c>
      <c r="C198" s="33" t="s">
        <v>506</v>
      </c>
      <c r="D198" s="34">
        <v>45336.0</v>
      </c>
      <c r="E198" s="35" t="s">
        <v>507</v>
      </c>
      <c r="F198" s="31" t="s">
        <v>13</v>
      </c>
    </row>
    <row r="199" ht="22.5" customHeight="1">
      <c r="A199" s="31" t="s">
        <v>508</v>
      </c>
      <c r="B199" s="32">
        <v>1.250000913E9</v>
      </c>
      <c r="C199" s="33" t="s">
        <v>60</v>
      </c>
      <c r="D199" s="34">
        <v>45337.0</v>
      </c>
      <c r="E199" s="35" t="s">
        <v>509</v>
      </c>
      <c r="F199" s="31" t="s">
        <v>13</v>
      </c>
    </row>
    <row r="200" ht="22.5" customHeight="1">
      <c r="A200" s="31" t="s">
        <v>510</v>
      </c>
      <c r="B200" s="32">
        <v>1.250009745E9</v>
      </c>
      <c r="C200" s="33" t="s">
        <v>84</v>
      </c>
      <c r="D200" s="34">
        <v>45337.0</v>
      </c>
      <c r="E200" s="35" t="s">
        <v>493</v>
      </c>
      <c r="F200" s="31" t="s">
        <v>13</v>
      </c>
    </row>
    <row r="201" ht="22.5" customHeight="1">
      <c r="A201" s="31" t="s">
        <v>511</v>
      </c>
      <c r="B201" s="32">
        <v>1.250001273E9</v>
      </c>
      <c r="C201" s="33" t="s">
        <v>512</v>
      </c>
      <c r="D201" s="34">
        <v>45337.0</v>
      </c>
      <c r="E201" s="35" t="s">
        <v>514</v>
      </c>
      <c r="F201" s="31" t="s">
        <v>13</v>
      </c>
    </row>
    <row r="202">
      <c r="B202" s="14"/>
      <c r="E202" s="42"/>
      <c r="F202" s="41"/>
    </row>
    <row r="203">
      <c r="B203" s="14"/>
      <c r="E203" s="42"/>
      <c r="F203" s="41"/>
    </row>
    <row r="204">
      <c r="B204" s="14"/>
      <c r="E204" s="42"/>
      <c r="F204" s="41"/>
    </row>
    <row r="205">
      <c r="B205" s="14"/>
      <c r="E205" s="42"/>
      <c r="F205" s="41"/>
    </row>
    <row r="206">
      <c r="B206" s="14"/>
      <c r="E206" s="42"/>
      <c r="F206" s="41"/>
    </row>
    <row r="207">
      <c r="B207" s="14"/>
      <c r="E207" s="42"/>
      <c r="F207" s="41"/>
    </row>
    <row r="208">
      <c r="B208" s="14"/>
      <c r="E208" s="42"/>
      <c r="F208" s="41"/>
    </row>
    <row r="209">
      <c r="B209" s="14"/>
      <c r="E209" s="42"/>
      <c r="F209" s="41"/>
    </row>
    <row r="210">
      <c r="B210" s="14"/>
      <c r="E210" s="42"/>
      <c r="F210" s="41"/>
    </row>
    <row r="211">
      <c r="B211" s="14"/>
      <c r="E211" s="42"/>
      <c r="F211" s="41"/>
    </row>
    <row r="212">
      <c r="B212" s="14"/>
      <c r="E212" s="42"/>
      <c r="F212" s="41"/>
    </row>
    <row r="213">
      <c r="B213" s="14"/>
      <c r="E213" s="42"/>
      <c r="F213" s="41"/>
    </row>
    <row r="214">
      <c r="B214" s="14"/>
      <c r="E214" s="42"/>
      <c r="F214" s="41"/>
    </row>
    <row r="215">
      <c r="B215" s="14"/>
      <c r="E215" s="42"/>
      <c r="F215" s="41"/>
    </row>
    <row r="216">
      <c r="B216" s="14"/>
      <c r="E216" s="42"/>
      <c r="F216" s="41"/>
    </row>
    <row r="217">
      <c r="B217" s="14"/>
      <c r="E217" s="42"/>
      <c r="F217" s="41"/>
    </row>
    <row r="218">
      <c r="B218" s="14"/>
      <c r="E218" s="42"/>
      <c r="F218" s="41"/>
    </row>
    <row r="219">
      <c r="B219" s="14"/>
      <c r="E219" s="42"/>
      <c r="F219" s="41"/>
    </row>
    <row r="220">
      <c r="B220" s="14"/>
      <c r="E220" s="42"/>
      <c r="F220" s="41"/>
    </row>
    <row r="221">
      <c r="B221" s="14"/>
      <c r="E221" s="42"/>
      <c r="F221" s="41"/>
    </row>
    <row r="222">
      <c r="B222" s="14"/>
      <c r="E222" s="42"/>
      <c r="F222" s="41"/>
    </row>
    <row r="223">
      <c r="B223" s="14"/>
      <c r="E223" s="42"/>
      <c r="F223" s="41"/>
    </row>
    <row r="224">
      <c r="B224" s="14"/>
      <c r="E224" s="42"/>
      <c r="F224" s="41"/>
    </row>
    <row r="225">
      <c r="B225" s="14"/>
      <c r="E225" s="42"/>
      <c r="F225" s="41"/>
    </row>
    <row r="226">
      <c r="B226" s="14"/>
      <c r="E226" s="42"/>
      <c r="F226" s="41"/>
    </row>
    <row r="227">
      <c r="B227" s="14"/>
      <c r="E227" s="42"/>
      <c r="F227" s="41"/>
    </row>
    <row r="228">
      <c r="B228" s="14"/>
      <c r="E228" s="42"/>
      <c r="F228" s="41"/>
    </row>
    <row r="229">
      <c r="B229" s="14"/>
      <c r="E229" s="42"/>
      <c r="F229" s="41"/>
    </row>
    <row r="230">
      <c r="B230" s="14"/>
      <c r="E230" s="42"/>
      <c r="F230" s="41"/>
    </row>
    <row r="231">
      <c r="B231" s="14"/>
      <c r="E231" s="42"/>
      <c r="F231" s="41"/>
    </row>
    <row r="232">
      <c r="B232" s="14"/>
      <c r="E232" s="42"/>
      <c r="F232" s="41"/>
    </row>
    <row r="233">
      <c r="B233" s="14"/>
      <c r="E233" s="42"/>
      <c r="F233" s="41"/>
    </row>
    <row r="234">
      <c r="B234" s="14"/>
      <c r="E234" s="42"/>
      <c r="F234" s="41"/>
    </row>
    <row r="235">
      <c r="B235" s="14"/>
      <c r="E235" s="42"/>
      <c r="F235" s="41"/>
    </row>
    <row r="236">
      <c r="B236" s="14"/>
      <c r="E236" s="42"/>
      <c r="F236" s="41"/>
    </row>
    <row r="237">
      <c r="B237" s="14"/>
      <c r="E237" s="42"/>
      <c r="F237" s="41"/>
    </row>
    <row r="238">
      <c r="B238" s="14"/>
      <c r="E238" s="42"/>
      <c r="F238" s="41"/>
    </row>
    <row r="239">
      <c r="B239" s="14"/>
      <c r="E239" s="42"/>
      <c r="F239" s="41"/>
    </row>
    <row r="240">
      <c r="B240" s="14"/>
      <c r="E240" s="42"/>
      <c r="F240" s="41"/>
    </row>
    <row r="241">
      <c r="B241" s="14"/>
      <c r="E241" s="42"/>
      <c r="F241" s="41"/>
    </row>
    <row r="242">
      <c r="B242" s="14"/>
      <c r="E242" s="42"/>
      <c r="F242" s="41"/>
    </row>
    <row r="243">
      <c r="B243" s="14"/>
      <c r="E243" s="42"/>
      <c r="F243" s="41"/>
    </row>
    <row r="244">
      <c r="B244" s="14"/>
      <c r="E244" s="42"/>
      <c r="F244" s="41"/>
    </row>
    <row r="245">
      <c r="B245" s="14"/>
      <c r="E245" s="42"/>
      <c r="F245" s="41"/>
    </row>
    <row r="246">
      <c r="B246" s="14"/>
      <c r="E246" s="42"/>
      <c r="F246" s="41"/>
    </row>
    <row r="247">
      <c r="B247" s="14"/>
      <c r="E247" s="42"/>
      <c r="F247" s="41"/>
    </row>
    <row r="248">
      <c r="B248" s="14"/>
      <c r="E248" s="42"/>
      <c r="F248" s="41"/>
    </row>
    <row r="249">
      <c r="B249" s="14"/>
      <c r="E249" s="42"/>
      <c r="F249" s="41"/>
    </row>
    <row r="250">
      <c r="B250" s="14"/>
      <c r="E250" s="42"/>
      <c r="F250" s="41"/>
    </row>
    <row r="251">
      <c r="B251" s="14"/>
      <c r="E251" s="42"/>
      <c r="F251" s="41"/>
    </row>
    <row r="252">
      <c r="B252" s="14"/>
      <c r="E252" s="42"/>
      <c r="F252" s="41"/>
    </row>
    <row r="253">
      <c r="B253" s="14"/>
      <c r="E253" s="42"/>
      <c r="F253" s="41"/>
    </row>
    <row r="254">
      <c r="B254" s="14"/>
      <c r="E254" s="42"/>
      <c r="F254" s="41"/>
    </row>
    <row r="255">
      <c r="B255" s="14"/>
      <c r="E255" s="42"/>
      <c r="F255" s="41"/>
    </row>
    <row r="256">
      <c r="B256" s="14"/>
      <c r="E256" s="42"/>
      <c r="F256" s="41"/>
    </row>
    <row r="257">
      <c r="B257" s="14"/>
      <c r="E257" s="42"/>
      <c r="F257" s="41"/>
    </row>
    <row r="258">
      <c r="B258" s="14"/>
      <c r="E258" s="42"/>
      <c r="F258" s="41"/>
    </row>
    <row r="259">
      <c r="B259" s="14"/>
      <c r="E259" s="42"/>
      <c r="F259" s="41"/>
    </row>
    <row r="260">
      <c r="B260" s="14"/>
      <c r="E260" s="42"/>
      <c r="F260" s="41"/>
    </row>
    <row r="261">
      <c r="B261" s="14"/>
      <c r="E261" s="42"/>
      <c r="F261" s="41"/>
    </row>
    <row r="262">
      <c r="B262" s="14"/>
      <c r="E262" s="42"/>
      <c r="F262" s="41"/>
    </row>
    <row r="263">
      <c r="B263" s="14"/>
      <c r="E263" s="42"/>
      <c r="F263" s="41"/>
    </row>
    <row r="264">
      <c r="B264" s="14"/>
      <c r="E264" s="42"/>
      <c r="F264" s="41"/>
    </row>
    <row r="265">
      <c r="B265" s="14"/>
      <c r="E265" s="42"/>
      <c r="F265" s="41"/>
    </row>
    <row r="266">
      <c r="B266" s="14"/>
      <c r="E266" s="42"/>
      <c r="F266" s="41"/>
    </row>
    <row r="267">
      <c r="B267" s="14"/>
      <c r="E267" s="42"/>
      <c r="F267" s="41"/>
    </row>
    <row r="268">
      <c r="B268" s="14"/>
      <c r="E268" s="42"/>
      <c r="F268" s="41"/>
    </row>
    <row r="269">
      <c r="B269" s="14"/>
      <c r="E269" s="42"/>
      <c r="F269" s="41"/>
    </row>
    <row r="270">
      <c r="B270" s="14"/>
      <c r="E270" s="42"/>
      <c r="F270" s="41"/>
    </row>
    <row r="271">
      <c r="B271" s="14"/>
      <c r="E271" s="42"/>
      <c r="F271" s="41"/>
    </row>
    <row r="272">
      <c r="B272" s="14"/>
      <c r="E272" s="42"/>
      <c r="F272" s="41"/>
    </row>
    <row r="273">
      <c r="B273" s="14"/>
      <c r="E273" s="42"/>
      <c r="F273" s="41"/>
    </row>
    <row r="274">
      <c r="B274" s="14"/>
      <c r="E274" s="42"/>
      <c r="F274" s="41"/>
    </row>
    <row r="275">
      <c r="B275" s="14"/>
      <c r="E275" s="42"/>
      <c r="F275" s="41"/>
    </row>
    <row r="276">
      <c r="B276" s="14"/>
      <c r="E276" s="42"/>
      <c r="F276" s="41"/>
    </row>
    <row r="277">
      <c r="B277" s="14"/>
      <c r="E277" s="42"/>
      <c r="F277" s="41"/>
    </row>
    <row r="278">
      <c r="B278" s="14"/>
      <c r="E278" s="42"/>
      <c r="F278" s="41"/>
    </row>
    <row r="279">
      <c r="B279" s="14"/>
      <c r="E279" s="42"/>
      <c r="F279" s="41"/>
    </row>
    <row r="280">
      <c r="B280" s="14"/>
      <c r="E280" s="42"/>
      <c r="F280" s="41"/>
    </row>
    <row r="281">
      <c r="B281" s="14"/>
      <c r="E281" s="42"/>
      <c r="F281" s="41"/>
    </row>
    <row r="282">
      <c r="B282" s="14"/>
      <c r="E282" s="42"/>
      <c r="F282" s="41"/>
    </row>
    <row r="283">
      <c r="B283" s="14"/>
      <c r="E283" s="42"/>
      <c r="F283" s="41"/>
    </row>
    <row r="284">
      <c r="B284" s="14"/>
      <c r="E284" s="42"/>
      <c r="F284" s="41"/>
    </row>
    <row r="285">
      <c r="B285" s="14"/>
      <c r="E285" s="42"/>
      <c r="F285" s="41"/>
    </row>
    <row r="286">
      <c r="B286" s="14"/>
      <c r="E286" s="42"/>
      <c r="F286" s="41"/>
    </row>
    <row r="287">
      <c r="B287" s="14"/>
      <c r="E287" s="42"/>
      <c r="F287" s="41"/>
    </row>
    <row r="288">
      <c r="B288" s="14"/>
      <c r="E288" s="42"/>
      <c r="F288" s="41"/>
    </row>
    <row r="289">
      <c r="B289" s="14"/>
      <c r="E289" s="42"/>
      <c r="F289" s="41"/>
    </row>
    <row r="290">
      <c r="B290" s="14"/>
      <c r="E290" s="42"/>
      <c r="F290" s="41"/>
    </row>
    <row r="291">
      <c r="B291" s="14"/>
      <c r="E291" s="42"/>
      <c r="F291" s="41"/>
    </row>
    <row r="292">
      <c r="B292" s="14"/>
      <c r="E292" s="42"/>
      <c r="F292" s="41"/>
    </row>
    <row r="293">
      <c r="B293" s="14"/>
      <c r="E293" s="42"/>
      <c r="F293" s="41"/>
    </row>
    <row r="294">
      <c r="B294" s="14"/>
      <c r="E294" s="42"/>
      <c r="F294" s="41"/>
    </row>
    <row r="295">
      <c r="B295" s="14"/>
      <c r="E295" s="42"/>
      <c r="F295" s="41"/>
    </row>
    <row r="296">
      <c r="B296" s="14"/>
      <c r="E296" s="42"/>
      <c r="F296" s="41"/>
    </row>
    <row r="297">
      <c r="B297" s="14"/>
      <c r="E297" s="42"/>
      <c r="F297" s="41"/>
    </row>
    <row r="298">
      <c r="B298" s="14"/>
      <c r="E298" s="42"/>
      <c r="F298" s="41"/>
    </row>
    <row r="299">
      <c r="B299" s="14"/>
      <c r="E299" s="42"/>
      <c r="F299" s="41"/>
    </row>
    <row r="300">
      <c r="B300" s="14"/>
      <c r="E300" s="42"/>
      <c r="F300" s="41"/>
    </row>
    <row r="301">
      <c r="B301" s="14"/>
      <c r="E301" s="42"/>
      <c r="F301" s="41"/>
    </row>
    <row r="302">
      <c r="B302" s="14"/>
      <c r="E302" s="42"/>
      <c r="F302" s="41"/>
    </row>
    <row r="303">
      <c r="B303" s="14"/>
      <c r="E303" s="42"/>
      <c r="F303" s="41"/>
    </row>
    <row r="304">
      <c r="B304" s="14"/>
      <c r="E304" s="42"/>
      <c r="F304" s="41"/>
    </row>
    <row r="305">
      <c r="B305" s="14"/>
      <c r="E305" s="42"/>
      <c r="F305" s="41"/>
    </row>
    <row r="306">
      <c r="B306" s="14"/>
      <c r="E306" s="42"/>
      <c r="F306" s="41"/>
    </row>
    <row r="307">
      <c r="B307" s="14"/>
      <c r="E307" s="42"/>
      <c r="F307" s="41"/>
    </row>
    <row r="308">
      <c r="B308" s="14"/>
      <c r="E308" s="42"/>
      <c r="F308" s="41"/>
    </row>
    <row r="309">
      <c r="B309" s="14"/>
      <c r="E309" s="42"/>
      <c r="F309" s="41"/>
    </row>
    <row r="310">
      <c r="B310" s="14"/>
      <c r="E310" s="42"/>
      <c r="F310" s="41"/>
    </row>
    <row r="311">
      <c r="B311" s="14"/>
      <c r="E311" s="42"/>
      <c r="F311" s="41"/>
    </row>
    <row r="312">
      <c r="B312" s="14"/>
      <c r="E312" s="42"/>
      <c r="F312" s="41"/>
    </row>
    <row r="313">
      <c r="B313" s="14"/>
      <c r="E313" s="42"/>
      <c r="F313" s="41"/>
    </row>
    <row r="314">
      <c r="B314" s="14"/>
      <c r="E314" s="42"/>
      <c r="F314" s="41"/>
    </row>
    <row r="315">
      <c r="B315" s="14"/>
      <c r="E315" s="42"/>
      <c r="F315" s="41"/>
    </row>
    <row r="316">
      <c r="B316" s="14"/>
      <c r="E316" s="42"/>
      <c r="F316" s="41"/>
    </row>
    <row r="317">
      <c r="B317" s="14"/>
      <c r="E317" s="42"/>
      <c r="F317" s="41"/>
    </row>
    <row r="318">
      <c r="B318" s="14"/>
      <c r="E318" s="42"/>
      <c r="F318" s="41"/>
    </row>
    <row r="319">
      <c r="B319" s="14"/>
      <c r="E319" s="42"/>
      <c r="F319" s="41"/>
    </row>
    <row r="320">
      <c r="B320" s="14"/>
      <c r="E320" s="42"/>
      <c r="F320" s="41"/>
    </row>
    <row r="321">
      <c r="B321" s="14"/>
      <c r="E321" s="42"/>
      <c r="F321" s="41"/>
    </row>
    <row r="322">
      <c r="B322" s="14"/>
      <c r="E322" s="42"/>
      <c r="F322" s="41"/>
    </row>
    <row r="323">
      <c r="B323" s="14"/>
      <c r="E323" s="42"/>
      <c r="F323" s="41"/>
    </row>
    <row r="324">
      <c r="B324" s="14"/>
      <c r="E324" s="42"/>
      <c r="F324" s="41"/>
    </row>
    <row r="325">
      <c r="B325" s="14"/>
      <c r="E325" s="42"/>
      <c r="F325" s="41"/>
    </row>
    <row r="326">
      <c r="B326" s="14"/>
      <c r="E326" s="42"/>
      <c r="F326" s="41"/>
    </row>
    <row r="327">
      <c r="B327" s="14"/>
      <c r="E327" s="42"/>
      <c r="F327" s="41"/>
    </row>
    <row r="328">
      <c r="B328" s="14"/>
      <c r="E328" s="42"/>
      <c r="F328" s="41"/>
    </row>
    <row r="329">
      <c r="B329" s="14"/>
      <c r="E329" s="42"/>
      <c r="F329" s="41"/>
    </row>
    <row r="330">
      <c r="B330" s="14"/>
      <c r="E330" s="42"/>
      <c r="F330" s="41"/>
    </row>
    <row r="331">
      <c r="B331" s="14"/>
      <c r="E331" s="42"/>
      <c r="F331" s="41"/>
    </row>
    <row r="332">
      <c r="B332" s="14"/>
      <c r="E332" s="42"/>
      <c r="F332" s="41"/>
    </row>
    <row r="333">
      <c r="B333" s="14"/>
      <c r="E333" s="42"/>
      <c r="F333" s="41"/>
    </row>
    <row r="334">
      <c r="B334" s="14"/>
      <c r="E334" s="42"/>
      <c r="F334" s="41"/>
    </row>
    <row r="335">
      <c r="B335" s="14"/>
      <c r="E335" s="42"/>
      <c r="F335" s="41"/>
    </row>
    <row r="336">
      <c r="B336" s="14"/>
      <c r="E336" s="42"/>
      <c r="F336" s="41"/>
    </row>
    <row r="337">
      <c r="B337" s="14"/>
      <c r="E337" s="42"/>
      <c r="F337" s="41"/>
    </row>
    <row r="338">
      <c r="B338" s="14"/>
      <c r="E338" s="42"/>
      <c r="F338" s="41"/>
    </row>
    <row r="339">
      <c r="B339" s="14"/>
      <c r="E339" s="42"/>
      <c r="F339" s="41"/>
    </row>
    <row r="340">
      <c r="B340" s="14"/>
      <c r="E340" s="42"/>
      <c r="F340" s="41"/>
    </row>
    <row r="341">
      <c r="B341" s="14"/>
      <c r="E341" s="42"/>
      <c r="F341" s="41"/>
    </row>
    <row r="342">
      <c r="B342" s="14"/>
      <c r="E342" s="42"/>
      <c r="F342" s="41"/>
    </row>
    <row r="343">
      <c r="B343" s="14"/>
      <c r="E343" s="42"/>
      <c r="F343" s="41"/>
    </row>
    <row r="344">
      <c r="B344" s="14"/>
      <c r="E344" s="42"/>
      <c r="F344" s="41"/>
    </row>
    <row r="345">
      <c r="B345" s="14"/>
      <c r="E345" s="42"/>
      <c r="F345" s="41"/>
    </row>
    <row r="346">
      <c r="B346" s="14"/>
      <c r="E346" s="42"/>
      <c r="F346" s="41"/>
    </row>
    <row r="347">
      <c r="B347" s="14"/>
      <c r="E347" s="42"/>
      <c r="F347" s="41"/>
    </row>
    <row r="348">
      <c r="B348" s="14"/>
      <c r="E348" s="42"/>
      <c r="F348" s="41"/>
    </row>
    <row r="349">
      <c r="B349" s="14"/>
      <c r="E349" s="42"/>
      <c r="F349" s="41"/>
    </row>
    <row r="350">
      <c r="B350" s="14"/>
      <c r="E350" s="42"/>
      <c r="F350" s="41"/>
    </row>
    <row r="351">
      <c r="B351" s="14"/>
      <c r="E351" s="42"/>
      <c r="F351" s="41"/>
    </row>
    <row r="352">
      <c r="B352" s="14"/>
      <c r="E352" s="42"/>
      <c r="F352" s="41"/>
    </row>
    <row r="353">
      <c r="B353" s="14"/>
      <c r="E353" s="42"/>
      <c r="F353" s="41"/>
    </row>
    <row r="354">
      <c r="B354" s="14"/>
      <c r="E354" s="42"/>
      <c r="F354" s="41"/>
    </row>
    <row r="355">
      <c r="B355" s="14"/>
      <c r="E355" s="42"/>
      <c r="F355" s="41"/>
    </row>
    <row r="356">
      <c r="B356" s="14"/>
      <c r="E356" s="42"/>
      <c r="F356" s="41"/>
    </row>
    <row r="357">
      <c r="B357" s="14"/>
      <c r="E357" s="42"/>
      <c r="F357" s="41"/>
    </row>
    <row r="358">
      <c r="B358" s="14"/>
      <c r="E358" s="42"/>
      <c r="F358" s="41"/>
    </row>
    <row r="359">
      <c r="B359" s="14"/>
      <c r="E359" s="42"/>
      <c r="F359" s="41"/>
    </row>
    <row r="360">
      <c r="B360" s="14"/>
      <c r="E360" s="42"/>
      <c r="F360" s="41"/>
    </row>
    <row r="361">
      <c r="B361" s="14"/>
      <c r="E361" s="42"/>
      <c r="F361" s="41"/>
    </row>
    <row r="362">
      <c r="B362" s="14"/>
      <c r="E362" s="42"/>
      <c r="F362" s="41"/>
    </row>
    <row r="363">
      <c r="B363" s="14"/>
      <c r="E363" s="42"/>
      <c r="F363" s="41"/>
    </row>
    <row r="364">
      <c r="B364" s="14"/>
      <c r="E364" s="42"/>
      <c r="F364" s="41"/>
    </row>
    <row r="365">
      <c r="B365" s="14"/>
      <c r="E365" s="42"/>
      <c r="F365" s="41"/>
    </row>
    <row r="366">
      <c r="B366" s="14"/>
      <c r="E366" s="42"/>
      <c r="F366" s="41"/>
    </row>
    <row r="367">
      <c r="B367" s="14"/>
      <c r="E367" s="42"/>
      <c r="F367" s="41"/>
    </row>
    <row r="368">
      <c r="B368" s="14"/>
      <c r="E368" s="42"/>
      <c r="F368" s="41"/>
    </row>
    <row r="369">
      <c r="B369" s="14"/>
      <c r="E369" s="42"/>
      <c r="F369" s="41"/>
    </row>
    <row r="370">
      <c r="B370" s="14"/>
      <c r="E370" s="42"/>
      <c r="F370" s="41"/>
    </row>
    <row r="371">
      <c r="B371" s="14"/>
      <c r="E371" s="42"/>
      <c r="F371" s="41"/>
    </row>
    <row r="372">
      <c r="B372" s="14"/>
      <c r="E372" s="42"/>
      <c r="F372" s="41"/>
    </row>
    <row r="373">
      <c r="B373" s="14"/>
      <c r="E373" s="42"/>
      <c r="F373" s="41"/>
    </row>
    <row r="374">
      <c r="B374" s="14"/>
      <c r="E374" s="42"/>
      <c r="F374" s="41"/>
    </row>
    <row r="375">
      <c r="B375" s="14"/>
      <c r="E375" s="42"/>
      <c r="F375" s="41"/>
    </row>
    <row r="376">
      <c r="B376" s="14"/>
      <c r="E376" s="42"/>
      <c r="F376" s="41"/>
    </row>
    <row r="377">
      <c r="B377" s="14"/>
      <c r="E377" s="42"/>
      <c r="F377" s="41"/>
    </row>
    <row r="378">
      <c r="B378" s="14"/>
      <c r="E378" s="42"/>
      <c r="F378" s="41"/>
    </row>
    <row r="379">
      <c r="B379" s="14"/>
      <c r="E379" s="42"/>
      <c r="F379" s="41"/>
    </row>
    <row r="380">
      <c r="B380" s="14"/>
      <c r="E380" s="42"/>
      <c r="F380" s="41"/>
    </row>
    <row r="381">
      <c r="B381" s="14"/>
      <c r="E381" s="42"/>
      <c r="F381" s="41"/>
    </row>
    <row r="382">
      <c r="B382" s="14"/>
      <c r="E382" s="42"/>
      <c r="F382" s="41"/>
    </row>
    <row r="383">
      <c r="B383" s="14"/>
      <c r="E383" s="42"/>
      <c r="F383" s="41"/>
    </row>
    <row r="384">
      <c r="B384" s="14"/>
      <c r="E384" s="42"/>
      <c r="F384" s="41"/>
    </row>
    <row r="385">
      <c r="B385" s="14"/>
      <c r="E385" s="42"/>
      <c r="F385" s="41"/>
    </row>
    <row r="386">
      <c r="B386" s="14"/>
      <c r="E386" s="42"/>
      <c r="F386" s="41"/>
    </row>
    <row r="387">
      <c r="B387" s="14"/>
      <c r="E387" s="42"/>
      <c r="F387" s="41"/>
    </row>
    <row r="388">
      <c r="B388" s="14"/>
      <c r="E388" s="42"/>
      <c r="F388" s="41"/>
    </row>
    <row r="389">
      <c r="B389" s="14"/>
      <c r="E389" s="42"/>
      <c r="F389" s="41"/>
    </row>
    <row r="390">
      <c r="B390" s="14"/>
      <c r="E390" s="42"/>
      <c r="F390" s="41"/>
    </row>
    <row r="391">
      <c r="B391" s="14"/>
      <c r="E391" s="42"/>
      <c r="F391" s="41"/>
    </row>
    <row r="392">
      <c r="B392" s="14"/>
      <c r="E392" s="42"/>
      <c r="F392" s="41"/>
    </row>
    <row r="393">
      <c r="B393" s="14"/>
      <c r="E393" s="42"/>
      <c r="F393" s="41"/>
    </row>
    <row r="394">
      <c r="B394" s="14"/>
      <c r="E394" s="42"/>
      <c r="F394" s="41"/>
    </row>
    <row r="395">
      <c r="B395" s="14"/>
      <c r="E395" s="42"/>
      <c r="F395" s="41"/>
    </row>
    <row r="396">
      <c r="B396" s="14"/>
      <c r="E396" s="42"/>
      <c r="F396" s="41"/>
    </row>
    <row r="397">
      <c r="B397" s="14"/>
      <c r="E397" s="42"/>
      <c r="F397" s="41"/>
    </row>
    <row r="398">
      <c r="B398" s="14"/>
      <c r="E398" s="42"/>
      <c r="F398" s="41"/>
    </row>
    <row r="399">
      <c r="B399" s="14"/>
      <c r="E399" s="42"/>
      <c r="F399" s="41"/>
    </row>
    <row r="400">
      <c r="B400" s="14"/>
      <c r="E400" s="42"/>
      <c r="F400" s="41"/>
    </row>
    <row r="401">
      <c r="B401" s="14"/>
      <c r="E401" s="42"/>
      <c r="F401" s="41"/>
    </row>
    <row r="402">
      <c r="B402" s="14"/>
      <c r="E402" s="42"/>
      <c r="F402" s="41"/>
    </row>
    <row r="403">
      <c r="B403" s="14"/>
      <c r="E403" s="42"/>
      <c r="F403" s="41"/>
    </row>
    <row r="404">
      <c r="B404" s="14"/>
      <c r="E404" s="42"/>
      <c r="F404" s="41"/>
    </row>
    <row r="405">
      <c r="B405" s="14"/>
      <c r="E405" s="42"/>
      <c r="F405" s="41"/>
    </row>
    <row r="406">
      <c r="B406" s="14"/>
      <c r="E406" s="42"/>
      <c r="F406" s="41"/>
    </row>
    <row r="407">
      <c r="B407" s="14"/>
      <c r="E407" s="42"/>
      <c r="F407" s="41"/>
    </row>
    <row r="408">
      <c r="B408" s="14"/>
      <c r="E408" s="42"/>
      <c r="F408" s="41"/>
    </row>
    <row r="409">
      <c r="B409" s="14"/>
      <c r="E409" s="42"/>
      <c r="F409" s="41"/>
    </row>
    <row r="410">
      <c r="B410" s="14"/>
      <c r="E410" s="42"/>
      <c r="F410" s="41"/>
    </row>
    <row r="411">
      <c r="B411" s="14"/>
      <c r="E411" s="42"/>
      <c r="F411" s="41"/>
    </row>
    <row r="412">
      <c r="B412" s="14"/>
      <c r="E412" s="42"/>
      <c r="F412" s="41"/>
    </row>
    <row r="413">
      <c r="B413" s="14"/>
      <c r="E413" s="42"/>
      <c r="F413" s="41"/>
    </row>
    <row r="414">
      <c r="B414" s="14"/>
      <c r="E414" s="42"/>
      <c r="F414" s="41"/>
    </row>
    <row r="415">
      <c r="B415" s="14"/>
      <c r="E415" s="42"/>
      <c r="F415" s="41"/>
    </row>
    <row r="416">
      <c r="B416" s="14"/>
      <c r="E416" s="42"/>
      <c r="F416" s="41"/>
    </row>
    <row r="417">
      <c r="B417" s="14"/>
      <c r="E417" s="42"/>
      <c r="F417" s="41"/>
    </row>
    <row r="418">
      <c r="B418" s="14"/>
      <c r="E418" s="42"/>
      <c r="F418" s="41"/>
    </row>
    <row r="419">
      <c r="B419" s="14"/>
      <c r="E419" s="42"/>
      <c r="F419" s="41"/>
    </row>
    <row r="420">
      <c r="B420" s="14"/>
      <c r="E420" s="42"/>
      <c r="F420" s="41"/>
    </row>
    <row r="421">
      <c r="B421" s="14"/>
      <c r="E421" s="42"/>
      <c r="F421" s="41"/>
    </row>
    <row r="422">
      <c r="B422" s="14"/>
      <c r="E422" s="42"/>
      <c r="F422" s="41"/>
    </row>
    <row r="423">
      <c r="B423" s="14"/>
      <c r="E423" s="42"/>
      <c r="F423" s="41"/>
    </row>
    <row r="424">
      <c r="B424" s="14"/>
      <c r="E424" s="42"/>
      <c r="F424" s="41"/>
    </row>
    <row r="425">
      <c r="B425" s="14"/>
      <c r="E425" s="42"/>
      <c r="F425" s="41"/>
    </row>
    <row r="426">
      <c r="B426" s="14"/>
      <c r="E426" s="42"/>
      <c r="F426" s="41"/>
    </row>
    <row r="427">
      <c r="B427" s="14"/>
      <c r="E427" s="42"/>
      <c r="F427" s="41"/>
    </row>
    <row r="428">
      <c r="B428" s="14"/>
      <c r="E428" s="42"/>
      <c r="F428" s="41"/>
    </row>
    <row r="429">
      <c r="B429" s="14"/>
      <c r="E429" s="42"/>
      <c r="F429" s="41"/>
    </row>
    <row r="430">
      <c r="B430" s="14"/>
      <c r="E430" s="42"/>
      <c r="F430" s="41"/>
    </row>
    <row r="431">
      <c r="B431" s="14"/>
      <c r="E431" s="42"/>
      <c r="F431" s="41"/>
    </row>
    <row r="432">
      <c r="B432" s="14"/>
      <c r="E432" s="42"/>
      <c r="F432" s="41"/>
    </row>
    <row r="433">
      <c r="B433" s="14"/>
      <c r="E433" s="42"/>
      <c r="F433" s="41"/>
    </row>
    <row r="434">
      <c r="B434" s="14"/>
      <c r="E434" s="42"/>
      <c r="F434" s="41"/>
    </row>
    <row r="435">
      <c r="B435" s="14"/>
      <c r="E435" s="42"/>
      <c r="F435" s="41"/>
    </row>
    <row r="436">
      <c r="B436" s="14"/>
      <c r="E436" s="42"/>
      <c r="F436" s="41"/>
    </row>
    <row r="437">
      <c r="B437" s="14"/>
      <c r="E437" s="42"/>
      <c r="F437" s="41"/>
    </row>
    <row r="438">
      <c r="B438" s="14"/>
      <c r="E438" s="42"/>
      <c r="F438" s="41"/>
    </row>
    <row r="439">
      <c r="B439" s="14"/>
      <c r="E439" s="42"/>
      <c r="F439" s="41"/>
    </row>
    <row r="440">
      <c r="B440" s="14"/>
      <c r="E440" s="42"/>
      <c r="F440" s="41"/>
    </row>
    <row r="441">
      <c r="B441" s="14"/>
      <c r="E441" s="42"/>
      <c r="F441" s="41"/>
    </row>
    <row r="442">
      <c r="B442" s="14"/>
      <c r="E442" s="42"/>
      <c r="F442" s="41"/>
    </row>
    <row r="443">
      <c r="B443" s="14"/>
      <c r="E443" s="42"/>
      <c r="F443" s="41"/>
    </row>
    <row r="444">
      <c r="B444" s="14"/>
      <c r="E444" s="42"/>
      <c r="F444" s="41"/>
    </row>
    <row r="445">
      <c r="B445" s="14"/>
      <c r="E445" s="42"/>
      <c r="F445" s="41"/>
    </row>
    <row r="446">
      <c r="B446" s="14"/>
      <c r="E446" s="42"/>
      <c r="F446" s="41"/>
    </row>
    <row r="447">
      <c r="B447" s="14"/>
      <c r="E447" s="42"/>
      <c r="F447" s="41"/>
    </row>
    <row r="448">
      <c r="B448" s="14"/>
      <c r="E448" s="42"/>
      <c r="F448" s="41"/>
    </row>
    <row r="449">
      <c r="B449" s="14"/>
      <c r="E449" s="42"/>
      <c r="F449" s="41"/>
    </row>
    <row r="450">
      <c r="B450" s="14"/>
      <c r="E450" s="42"/>
      <c r="F450" s="41"/>
    </row>
    <row r="451">
      <c r="B451" s="14"/>
      <c r="E451" s="42"/>
      <c r="F451" s="41"/>
    </row>
    <row r="452">
      <c r="B452" s="14"/>
      <c r="E452" s="42"/>
      <c r="F452" s="41"/>
    </row>
    <row r="453">
      <c r="B453" s="14"/>
      <c r="E453" s="42"/>
      <c r="F453" s="41"/>
    </row>
    <row r="454">
      <c r="B454" s="14"/>
      <c r="E454" s="42"/>
      <c r="F454" s="41"/>
    </row>
    <row r="455">
      <c r="B455" s="14"/>
      <c r="E455" s="42"/>
      <c r="F455" s="41"/>
    </row>
    <row r="456">
      <c r="B456" s="14"/>
      <c r="E456" s="42"/>
      <c r="F456" s="41"/>
    </row>
    <row r="457">
      <c r="B457" s="14"/>
      <c r="E457" s="42"/>
      <c r="F457" s="41"/>
    </row>
    <row r="458">
      <c r="B458" s="14"/>
      <c r="E458" s="42"/>
      <c r="F458" s="41"/>
    </row>
    <row r="459">
      <c r="B459" s="14"/>
      <c r="E459" s="42"/>
      <c r="F459" s="41"/>
    </row>
    <row r="460">
      <c r="B460" s="14"/>
      <c r="E460" s="42"/>
      <c r="F460" s="41"/>
    </row>
    <row r="461">
      <c r="B461" s="14"/>
      <c r="E461" s="42"/>
      <c r="F461" s="41"/>
    </row>
    <row r="462">
      <c r="B462" s="14"/>
      <c r="E462" s="42"/>
      <c r="F462" s="41"/>
    </row>
    <row r="463">
      <c r="B463" s="14"/>
      <c r="E463" s="42"/>
      <c r="F463" s="41"/>
    </row>
    <row r="464">
      <c r="B464" s="14"/>
      <c r="E464" s="42"/>
      <c r="F464" s="41"/>
    </row>
    <row r="465">
      <c r="B465" s="14"/>
      <c r="E465" s="42"/>
      <c r="F465" s="41"/>
    </row>
    <row r="466">
      <c r="B466" s="14"/>
      <c r="E466" s="42"/>
      <c r="F466" s="41"/>
    </row>
    <row r="467">
      <c r="B467" s="14"/>
      <c r="E467" s="42"/>
      <c r="F467" s="41"/>
    </row>
    <row r="468">
      <c r="B468" s="14"/>
      <c r="E468" s="42"/>
      <c r="F468" s="41"/>
    </row>
    <row r="469">
      <c r="B469" s="14"/>
      <c r="E469" s="42"/>
      <c r="F469" s="41"/>
    </row>
    <row r="470">
      <c r="B470" s="14"/>
      <c r="E470" s="42"/>
      <c r="F470" s="41"/>
    </row>
    <row r="471">
      <c r="B471" s="14"/>
      <c r="E471" s="42"/>
      <c r="F471" s="41"/>
    </row>
    <row r="472">
      <c r="B472" s="14"/>
      <c r="E472" s="42"/>
      <c r="F472" s="41"/>
    </row>
    <row r="473">
      <c r="B473" s="14"/>
      <c r="E473" s="42"/>
      <c r="F473" s="41"/>
    </row>
    <row r="474">
      <c r="B474" s="14"/>
      <c r="E474" s="42"/>
      <c r="F474" s="41"/>
    </row>
    <row r="475">
      <c r="B475" s="14"/>
      <c r="E475" s="42"/>
      <c r="F475" s="41"/>
    </row>
    <row r="476">
      <c r="B476" s="14"/>
      <c r="E476" s="42"/>
      <c r="F476" s="41"/>
    </row>
    <row r="477">
      <c r="B477" s="14"/>
      <c r="E477" s="42"/>
      <c r="F477" s="41"/>
    </row>
    <row r="478">
      <c r="B478" s="14"/>
      <c r="E478" s="42"/>
      <c r="F478" s="41"/>
    </row>
    <row r="479">
      <c r="B479" s="14"/>
      <c r="E479" s="42"/>
      <c r="F479" s="41"/>
    </row>
    <row r="480">
      <c r="B480" s="14"/>
      <c r="E480" s="42"/>
      <c r="F480" s="41"/>
    </row>
    <row r="481">
      <c r="B481" s="14"/>
      <c r="E481" s="42"/>
      <c r="F481" s="41"/>
    </row>
    <row r="482">
      <c r="B482" s="14"/>
      <c r="E482" s="42"/>
      <c r="F482" s="41"/>
    </row>
    <row r="483">
      <c r="B483" s="14"/>
      <c r="E483" s="42"/>
      <c r="F483" s="41"/>
    </row>
    <row r="484">
      <c r="B484" s="14"/>
      <c r="E484" s="42"/>
      <c r="F484" s="41"/>
    </row>
    <row r="485">
      <c r="B485" s="14"/>
      <c r="E485" s="42"/>
      <c r="F485" s="41"/>
    </row>
    <row r="486">
      <c r="B486" s="14"/>
      <c r="E486" s="42"/>
      <c r="F486" s="41"/>
    </row>
    <row r="487">
      <c r="B487" s="14"/>
      <c r="E487" s="42"/>
      <c r="F487" s="41"/>
    </row>
    <row r="488">
      <c r="B488" s="14"/>
      <c r="E488" s="42"/>
      <c r="F488" s="41"/>
    </row>
    <row r="489">
      <c r="B489" s="14"/>
      <c r="E489" s="42"/>
      <c r="F489" s="41"/>
    </row>
    <row r="490">
      <c r="B490" s="14"/>
      <c r="E490" s="42"/>
      <c r="F490" s="41"/>
    </row>
    <row r="491">
      <c r="B491" s="14"/>
      <c r="E491" s="42"/>
      <c r="F491" s="41"/>
    </row>
    <row r="492">
      <c r="B492" s="14"/>
      <c r="E492" s="42"/>
      <c r="F492" s="41"/>
    </row>
    <row r="493">
      <c r="B493" s="14"/>
      <c r="E493" s="42"/>
      <c r="F493" s="41"/>
    </row>
    <row r="494">
      <c r="B494" s="14"/>
      <c r="E494" s="42"/>
      <c r="F494" s="41"/>
    </row>
    <row r="495">
      <c r="B495" s="14"/>
      <c r="E495" s="42"/>
      <c r="F495" s="41"/>
    </row>
    <row r="496">
      <c r="B496" s="14"/>
      <c r="E496" s="42"/>
      <c r="F496" s="41"/>
    </row>
    <row r="497">
      <c r="B497" s="14"/>
      <c r="E497" s="42"/>
      <c r="F497" s="41"/>
    </row>
    <row r="498">
      <c r="B498" s="14"/>
      <c r="E498" s="42"/>
      <c r="F498" s="41"/>
    </row>
    <row r="499">
      <c r="B499" s="14"/>
      <c r="E499" s="42"/>
      <c r="F499" s="41"/>
    </row>
    <row r="500">
      <c r="B500" s="14"/>
      <c r="E500" s="42"/>
      <c r="F500" s="41"/>
    </row>
    <row r="501">
      <c r="B501" s="14"/>
      <c r="E501" s="42"/>
      <c r="F501" s="41"/>
    </row>
    <row r="502">
      <c r="B502" s="14"/>
      <c r="E502" s="42"/>
      <c r="F502" s="41"/>
    </row>
    <row r="503">
      <c r="B503" s="14"/>
      <c r="E503" s="42"/>
      <c r="F503" s="41"/>
    </row>
    <row r="504">
      <c r="B504" s="14"/>
      <c r="E504" s="42"/>
      <c r="F504" s="41"/>
    </row>
    <row r="505">
      <c r="B505" s="14"/>
      <c r="E505" s="42"/>
      <c r="F505" s="41"/>
    </row>
    <row r="506">
      <c r="B506" s="14"/>
      <c r="E506" s="42"/>
      <c r="F506" s="41"/>
    </row>
    <row r="507">
      <c r="B507" s="14"/>
      <c r="E507" s="42"/>
      <c r="F507" s="41"/>
    </row>
    <row r="508">
      <c r="B508" s="14"/>
      <c r="E508" s="42"/>
      <c r="F508" s="41"/>
    </row>
    <row r="509">
      <c r="B509" s="14"/>
      <c r="E509" s="42"/>
      <c r="F509" s="41"/>
    </row>
    <row r="510">
      <c r="B510" s="14"/>
      <c r="E510" s="42"/>
      <c r="F510" s="41"/>
    </row>
    <row r="511">
      <c r="B511" s="14"/>
      <c r="E511" s="42"/>
      <c r="F511" s="41"/>
    </row>
    <row r="512">
      <c r="B512" s="14"/>
      <c r="E512" s="42"/>
      <c r="F512" s="41"/>
    </row>
    <row r="513">
      <c r="B513" s="14"/>
      <c r="E513" s="42"/>
      <c r="F513" s="41"/>
    </row>
    <row r="514">
      <c r="B514" s="14"/>
      <c r="E514" s="42"/>
      <c r="F514" s="41"/>
    </row>
    <row r="515">
      <c r="B515" s="14"/>
      <c r="E515" s="42"/>
      <c r="F515" s="41"/>
    </row>
    <row r="516">
      <c r="B516" s="14"/>
      <c r="E516" s="42"/>
      <c r="F516" s="41"/>
    </row>
    <row r="517">
      <c r="B517" s="14"/>
      <c r="E517" s="42"/>
      <c r="F517" s="41"/>
    </row>
    <row r="518">
      <c r="B518" s="14"/>
      <c r="E518" s="42"/>
      <c r="F518" s="41"/>
    </row>
    <row r="519">
      <c r="B519" s="14"/>
      <c r="E519" s="42"/>
      <c r="F519" s="41"/>
    </row>
    <row r="520">
      <c r="B520" s="14"/>
      <c r="E520" s="42"/>
      <c r="F520" s="41"/>
    </row>
    <row r="521">
      <c r="B521" s="14"/>
      <c r="E521" s="42"/>
      <c r="F521" s="41"/>
    </row>
    <row r="522">
      <c r="B522" s="14"/>
      <c r="E522" s="42"/>
      <c r="F522" s="41"/>
    </row>
    <row r="523">
      <c r="B523" s="14"/>
      <c r="E523" s="42"/>
      <c r="F523" s="41"/>
    </row>
    <row r="524">
      <c r="B524" s="14"/>
      <c r="E524" s="42"/>
      <c r="F524" s="41"/>
    </row>
    <row r="525">
      <c r="B525" s="14"/>
      <c r="E525" s="42"/>
      <c r="F525" s="41"/>
    </row>
    <row r="526">
      <c r="B526" s="14"/>
      <c r="E526" s="42"/>
      <c r="F526" s="41"/>
    </row>
    <row r="527">
      <c r="B527" s="14"/>
      <c r="E527" s="42"/>
      <c r="F527" s="41"/>
    </row>
    <row r="528">
      <c r="B528" s="14"/>
      <c r="E528" s="42"/>
      <c r="F528" s="41"/>
    </row>
    <row r="529">
      <c r="B529" s="14"/>
      <c r="E529" s="42"/>
      <c r="F529" s="41"/>
    </row>
    <row r="530">
      <c r="B530" s="14"/>
      <c r="E530" s="42"/>
      <c r="F530" s="41"/>
    </row>
    <row r="531">
      <c r="B531" s="14"/>
      <c r="E531" s="42"/>
      <c r="F531" s="41"/>
    </row>
    <row r="532">
      <c r="B532" s="14"/>
      <c r="E532" s="42"/>
      <c r="F532" s="41"/>
    </row>
    <row r="533">
      <c r="B533" s="14"/>
      <c r="E533" s="42"/>
      <c r="F533" s="41"/>
    </row>
    <row r="534">
      <c r="B534" s="14"/>
      <c r="E534" s="42"/>
      <c r="F534" s="41"/>
    </row>
    <row r="535">
      <c r="B535" s="14"/>
      <c r="E535" s="42"/>
      <c r="F535" s="41"/>
    </row>
    <row r="536">
      <c r="B536" s="14"/>
      <c r="E536" s="42"/>
      <c r="F536" s="41"/>
    </row>
    <row r="537">
      <c r="B537" s="14"/>
      <c r="E537" s="42"/>
      <c r="F537" s="41"/>
    </row>
    <row r="538">
      <c r="B538" s="14"/>
      <c r="E538" s="42"/>
      <c r="F538" s="41"/>
    </row>
    <row r="539">
      <c r="B539" s="14"/>
      <c r="E539" s="42"/>
      <c r="F539" s="41"/>
    </row>
    <row r="540">
      <c r="B540" s="14"/>
      <c r="E540" s="42"/>
      <c r="F540" s="41"/>
    </row>
    <row r="541">
      <c r="B541" s="14"/>
      <c r="E541" s="42"/>
      <c r="F541" s="41"/>
    </row>
    <row r="542">
      <c r="B542" s="14"/>
      <c r="E542" s="42"/>
      <c r="F542" s="41"/>
    </row>
    <row r="543">
      <c r="B543" s="14"/>
      <c r="E543" s="42"/>
      <c r="F543" s="41"/>
    </row>
    <row r="544">
      <c r="B544" s="14"/>
      <c r="E544" s="42"/>
      <c r="F544" s="41"/>
    </row>
    <row r="545">
      <c r="B545" s="14"/>
      <c r="E545" s="42"/>
      <c r="F545" s="41"/>
    </row>
    <row r="546">
      <c r="B546" s="14"/>
      <c r="E546" s="42"/>
      <c r="F546" s="41"/>
    </row>
    <row r="547">
      <c r="B547" s="14"/>
      <c r="E547" s="42"/>
      <c r="F547" s="41"/>
    </row>
    <row r="548">
      <c r="B548" s="14"/>
      <c r="E548" s="42"/>
      <c r="F548" s="41"/>
    </row>
    <row r="549">
      <c r="B549" s="14"/>
      <c r="E549" s="42"/>
      <c r="F549" s="41"/>
    </row>
    <row r="550">
      <c r="B550" s="14"/>
      <c r="E550" s="42"/>
      <c r="F550" s="41"/>
    </row>
    <row r="551">
      <c r="B551" s="14"/>
      <c r="E551" s="42"/>
      <c r="F551" s="41"/>
    </row>
    <row r="552">
      <c r="B552" s="14"/>
      <c r="E552" s="42"/>
      <c r="F552" s="41"/>
    </row>
    <row r="553">
      <c r="B553" s="14"/>
      <c r="E553" s="42"/>
      <c r="F553" s="41"/>
    </row>
    <row r="554">
      <c r="B554" s="14"/>
      <c r="E554" s="42"/>
      <c r="F554" s="41"/>
    </row>
    <row r="555">
      <c r="B555" s="14"/>
      <c r="E555" s="42"/>
      <c r="F555" s="41"/>
    </row>
    <row r="556">
      <c r="B556" s="14"/>
      <c r="E556" s="42"/>
      <c r="F556" s="41"/>
    </row>
    <row r="557">
      <c r="B557" s="14"/>
      <c r="E557" s="42"/>
      <c r="F557" s="41"/>
    </row>
    <row r="558">
      <c r="B558" s="14"/>
      <c r="E558" s="42"/>
      <c r="F558" s="41"/>
    </row>
    <row r="559">
      <c r="B559" s="14"/>
      <c r="E559" s="42"/>
      <c r="F559" s="41"/>
    </row>
    <row r="560">
      <c r="B560" s="14"/>
      <c r="E560" s="42"/>
      <c r="F560" s="41"/>
    </row>
    <row r="561">
      <c r="B561" s="14"/>
      <c r="E561" s="42"/>
      <c r="F561" s="41"/>
    </row>
    <row r="562">
      <c r="B562" s="14"/>
      <c r="E562" s="42"/>
      <c r="F562" s="41"/>
    </row>
    <row r="563">
      <c r="B563" s="14"/>
      <c r="E563" s="42"/>
      <c r="F563" s="41"/>
    </row>
    <row r="564">
      <c r="B564" s="14"/>
      <c r="E564" s="42"/>
      <c r="F564" s="41"/>
    </row>
    <row r="565">
      <c r="B565" s="14"/>
      <c r="E565" s="42"/>
      <c r="F565" s="41"/>
    </row>
    <row r="566">
      <c r="B566" s="14"/>
      <c r="E566" s="42"/>
      <c r="F566" s="41"/>
    </row>
    <row r="567">
      <c r="B567" s="14"/>
      <c r="E567" s="42"/>
      <c r="F567" s="41"/>
    </row>
    <row r="568">
      <c r="B568" s="14"/>
      <c r="E568" s="42"/>
      <c r="F568" s="41"/>
    </row>
    <row r="569">
      <c r="B569" s="14"/>
      <c r="E569" s="42"/>
      <c r="F569" s="41"/>
    </row>
    <row r="570">
      <c r="B570" s="14"/>
      <c r="E570" s="42"/>
      <c r="F570" s="41"/>
    </row>
    <row r="571">
      <c r="B571" s="14"/>
      <c r="E571" s="42"/>
      <c r="F571" s="41"/>
    </row>
    <row r="572">
      <c r="B572" s="14"/>
      <c r="E572" s="42"/>
      <c r="F572" s="41"/>
    </row>
    <row r="573">
      <c r="B573" s="14"/>
      <c r="E573" s="42"/>
      <c r="F573" s="41"/>
    </row>
    <row r="574">
      <c r="B574" s="14"/>
      <c r="E574" s="42"/>
      <c r="F574" s="41"/>
    </row>
    <row r="575">
      <c r="B575" s="14"/>
      <c r="E575" s="42"/>
      <c r="F575" s="41"/>
    </row>
    <row r="576">
      <c r="B576" s="14"/>
      <c r="E576" s="42"/>
      <c r="F576" s="41"/>
    </row>
    <row r="577">
      <c r="B577" s="14"/>
      <c r="E577" s="42"/>
      <c r="F577" s="41"/>
    </row>
    <row r="578">
      <c r="B578" s="14"/>
      <c r="E578" s="42"/>
      <c r="F578" s="41"/>
    </row>
    <row r="579">
      <c r="B579" s="14"/>
      <c r="E579" s="42"/>
      <c r="F579" s="41"/>
    </row>
    <row r="580">
      <c r="B580" s="14"/>
      <c r="E580" s="42"/>
      <c r="F580" s="41"/>
    </row>
    <row r="581">
      <c r="B581" s="14"/>
      <c r="E581" s="42"/>
      <c r="F581" s="41"/>
    </row>
    <row r="582">
      <c r="B582" s="14"/>
      <c r="E582" s="42"/>
      <c r="F582" s="41"/>
    </row>
    <row r="583">
      <c r="B583" s="14"/>
      <c r="E583" s="42"/>
      <c r="F583" s="41"/>
    </row>
    <row r="584">
      <c r="B584" s="14"/>
      <c r="E584" s="42"/>
      <c r="F584" s="41"/>
    </row>
    <row r="585">
      <c r="B585" s="14"/>
      <c r="E585" s="42"/>
      <c r="F585" s="41"/>
    </row>
    <row r="586">
      <c r="B586" s="14"/>
      <c r="E586" s="42"/>
      <c r="F586" s="41"/>
    </row>
    <row r="587">
      <c r="B587" s="14"/>
      <c r="E587" s="42"/>
      <c r="F587" s="41"/>
    </row>
    <row r="588">
      <c r="B588" s="14"/>
      <c r="E588" s="42"/>
      <c r="F588" s="41"/>
    </row>
    <row r="589">
      <c r="B589" s="14"/>
      <c r="E589" s="42"/>
      <c r="F589" s="41"/>
    </row>
    <row r="590">
      <c r="B590" s="14"/>
      <c r="E590" s="42"/>
      <c r="F590" s="41"/>
    </row>
    <row r="591">
      <c r="B591" s="14"/>
      <c r="E591" s="42"/>
      <c r="F591" s="41"/>
    </row>
    <row r="592">
      <c r="B592" s="14"/>
      <c r="E592" s="42"/>
      <c r="F592" s="41"/>
    </row>
    <row r="593">
      <c r="B593" s="14"/>
      <c r="E593" s="42"/>
      <c r="F593" s="41"/>
    </row>
    <row r="594">
      <c r="B594" s="14"/>
      <c r="E594" s="42"/>
      <c r="F594" s="41"/>
    </row>
    <row r="595">
      <c r="B595" s="14"/>
      <c r="E595" s="42"/>
      <c r="F595" s="41"/>
    </row>
    <row r="596">
      <c r="B596" s="14"/>
      <c r="E596" s="42"/>
      <c r="F596" s="41"/>
    </row>
    <row r="597">
      <c r="B597" s="14"/>
      <c r="E597" s="42"/>
      <c r="F597" s="41"/>
    </row>
    <row r="598">
      <c r="B598" s="14"/>
      <c r="E598" s="42"/>
      <c r="F598" s="41"/>
    </row>
    <row r="599">
      <c r="B599" s="14"/>
      <c r="E599" s="42"/>
      <c r="F599" s="41"/>
    </row>
    <row r="600">
      <c r="B600" s="14"/>
      <c r="E600" s="42"/>
      <c r="F600" s="41"/>
    </row>
    <row r="601">
      <c r="B601" s="14"/>
      <c r="E601" s="42"/>
      <c r="F601" s="41"/>
    </row>
    <row r="602">
      <c r="B602" s="14"/>
      <c r="E602" s="42"/>
      <c r="F602" s="41"/>
    </row>
    <row r="603">
      <c r="B603" s="14"/>
      <c r="E603" s="42"/>
      <c r="F603" s="41"/>
    </row>
    <row r="604">
      <c r="B604" s="14"/>
      <c r="E604" s="42"/>
      <c r="F604" s="41"/>
    </row>
    <row r="605">
      <c r="B605" s="14"/>
      <c r="E605" s="42"/>
      <c r="F605" s="41"/>
    </row>
    <row r="606">
      <c r="B606" s="14"/>
      <c r="E606" s="42"/>
      <c r="F606" s="41"/>
    </row>
    <row r="607">
      <c r="B607" s="14"/>
      <c r="E607" s="42"/>
      <c r="F607" s="41"/>
    </row>
    <row r="608">
      <c r="B608" s="14"/>
      <c r="E608" s="42"/>
      <c r="F608" s="41"/>
    </row>
    <row r="609">
      <c r="B609" s="14"/>
      <c r="E609" s="42"/>
      <c r="F609" s="41"/>
    </row>
    <row r="610">
      <c r="B610" s="14"/>
      <c r="E610" s="42"/>
      <c r="F610" s="41"/>
    </row>
    <row r="611">
      <c r="B611" s="14"/>
      <c r="E611" s="42"/>
      <c r="F611" s="41"/>
    </row>
    <row r="612">
      <c r="B612" s="14"/>
      <c r="E612" s="42"/>
      <c r="F612" s="41"/>
    </row>
    <row r="613">
      <c r="B613" s="14"/>
      <c r="E613" s="42"/>
      <c r="F613" s="41"/>
    </row>
    <row r="614">
      <c r="B614" s="14"/>
      <c r="E614" s="42"/>
      <c r="F614" s="41"/>
    </row>
    <row r="615">
      <c r="B615" s="14"/>
      <c r="E615" s="42"/>
      <c r="F615" s="41"/>
    </row>
    <row r="616">
      <c r="B616" s="14"/>
      <c r="E616" s="42"/>
      <c r="F616" s="41"/>
    </row>
    <row r="617">
      <c r="B617" s="14"/>
      <c r="E617" s="42"/>
      <c r="F617" s="41"/>
    </row>
    <row r="618">
      <c r="B618" s="14"/>
      <c r="E618" s="42"/>
      <c r="F618" s="41"/>
    </row>
    <row r="619">
      <c r="B619" s="14"/>
      <c r="E619" s="42"/>
      <c r="F619" s="41"/>
    </row>
    <row r="620">
      <c r="B620" s="14"/>
      <c r="E620" s="42"/>
      <c r="F620" s="41"/>
    </row>
    <row r="621">
      <c r="B621" s="14"/>
      <c r="E621" s="42"/>
      <c r="F621" s="41"/>
    </row>
    <row r="622">
      <c r="B622" s="14"/>
      <c r="E622" s="42"/>
      <c r="F622" s="41"/>
    </row>
    <row r="623">
      <c r="B623" s="14"/>
      <c r="E623" s="42"/>
      <c r="F623" s="41"/>
    </row>
    <row r="624">
      <c r="B624" s="14"/>
      <c r="E624" s="42"/>
      <c r="F624" s="41"/>
    </row>
    <row r="625">
      <c r="B625" s="14"/>
      <c r="E625" s="42"/>
      <c r="F625" s="41"/>
    </row>
    <row r="626">
      <c r="B626" s="14"/>
      <c r="E626" s="42"/>
      <c r="F626" s="41"/>
    </row>
    <row r="627">
      <c r="B627" s="14"/>
      <c r="E627" s="42"/>
      <c r="F627" s="41"/>
    </row>
    <row r="628">
      <c r="B628" s="14"/>
      <c r="E628" s="42"/>
      <c r="F628" s="41"/>
    </row>
    <row r="629">
      <c r="B629" s="14"/>
      <c r="E629" s="42"/>
      <c r="F629" s="41"/>
    </row>
    <row r="630">
      <c r="B630" s="14"/>
      <c r="E630" s="42"/>
      <c r="F630" s="41"/>
    </row>
    <row r="631">
      <c r="B631" s="14"/>
      <c r="E631" s="42"/>
      <c r="F631" s="41"/>
    </row>
    <row r="632">
      <c r="B632" s="14"/>
      <c r="E632" s="42"/>
      <c r="F632" s="41"/>
    </row>
    <row r="633">
      <c r="B633" s="14"/>
      <c r="E633" s="42"/>
      <c r="F633" s="41"/>
    </row>
    <row r="634">
      <c r="B634" s="14"/>
      <c r="E634" s="42"/>
      <c r="F634" s="41"/>
    </row>
    <row r="635">
      <c r="B635" s="14"/>
      <c r="E635" s="42"/>
      <c r="F635" s="41"/>
    </row>
    <row r="636">
      <c r="B636" s="14"/>
      <c r="E636" s="42"/>
      <c r="F636" s="41"/>
    </row>
    <row r="637">
      <c r="B637" s="14"/>
      <c r="E637" s="42"/>
      <c r="F637" s="41"/>
    </row>
    <row r="638">
      <c r="B638" s="14"/>
      <c r="E638" s="42"/>
      <c r="F638" s="41"/>
    </row>
    <row r="639">
      <c r="B639" s="14"/>
      <c r="E639" s="42"/>
      <c r="F639" s="41"/>
    </row>
    <row r="640">
      <c r="B640" s="14"/>
      <c r="E640" s="42"/>
      <c r="F640" s="41"/>
    </row>
    <row r="641">
      <c r="B641" s="14"/>
      <c r="E641" s="42"/>
      <c r="F641" s="41"/>
    </row>
    <row r="642">
      <c r="B642" s="14"/>
      <c r="E642" s="42"/>
      <c r="F642" s="41"/>
    </row>
    <row r="643">
      <c r="B643" s="14"/>
      <c r="E643" s="42"/>
      <c r="F643" s="41"/>
    </row>
    <row r="644">
      <c r="B644" s="14"/>
      <c r="E644" s="42"/>
      <c r="F644" s="41"/>
    </row>
    <row r="645">
      <c r="B645" s="14"/>
      <c r="E645" s="42"/>
      <c r="F645" s="41"/>
    </row>
    <row r="646">
      <c r="B646" s="14"/>
      <c r="E646" s="42"/>
      <c r="F646" s="41"/>
    </row>
    <row r="647">
      <c r="B647" s="14"/>
      <c r="E647" s="42"/>
      <c r="F647" s="41"/>
    </row>
    <row r="648">
      <c r="B648" s="14"/>
      <c r="E648" s="42"/>
      <c r="F648" s="41"/>
    </row>
    <row r="649">
      <c r="B649" s="14"/>
      <c r="E649" s="42"/>
      <c r="F649" s="41"/>
    </row>
    <row r="650">
      <c r="B650" s="14"/>
      <c r="E650" s="42"/>
      <c r="F650" s="41"/>
    </row>
    <row r="651">
      <c r="B651" s="14"/>
      <c r="E651" s="42"/>
      <c r="F651" s="41"/>
    </row>
    <row r="652">
      <c r="B652" s="14"/>
      <c r="E652" s="42"/>
      <c r="F652" s="41"/>
    </row>
    <row r="653">
      <c r="B653" s="14"/>
      <c r="E653" s="42"/>
      <c r="F653" s="41"/>
    </row>
    <row r="654">
      <c r="B654" s="14"/>
      <c r="E654" s="42"/>
      <c r="F654" s="41"/>
    </row>
    <row r="655">
      <c r="B655" s="14"/>
      <c r="E655" s="42"/>
      <c r="F655" s="41"/>
    </row>
    <row r="656">
      <c r="B656" s="14"/>
      <c r="E656" s="42"/>
      <c r="F656" s="41"/>
    </row>
    <row r="657">
      <c r="B657" s="14"/>
      <c r="E657" s="42"/>
      <c r="F657" s="41"/>
    </row>
    <row r="658">
      <c r="B658" s="14"/>
      <c r="E658" s="42"/>
      <c r="F658" s="41"/>
    </row>
    <row r="659">
      <c r="B659" s="14"/>
      <c r="E659" s="42"/>
      <c r="F659" s="41"/>
    </row>
    <row r="660">
      <c r="B660" s="14"/>
      <c r="E660" s="42"/>
      <c r="F660" s="41"/>
    </row>
    <row r="661">
      <c r="B661" s="14"/>
      <c r="E661" s="42"/>
      <c r="F661" s="41"/>
    </row>
    <row r="662">
      <c r="B662" s="14"/>
      <c r="E662" s="42"/>
      <c r="F662" s="41"/>
    </row>
    <row r="663">
      <c r="B663" s="14"/>
      <c r="E663" s="42"/>
      <c r="F663" s="41"/>
    </row>
    <row r="664">
      <c r="B664" s="14"/>
      <c r="E664" s="42"/>
      <c r="F664" s="41"/>
    </row>
    <row r="665">
      <c r="B665" s="14"/>
      <c r="E665" s="42"/>
      <c r="F665" s="41"/>
    </row>
    <row r="666">
      <c r="B666" s="14"/>
      <c r="E666" s="42"/>
      <c r="F666" s="41"/>
    </row>
    <row r="667">
      <c r="B667" s="14"/>
      <c r="E667" s="42"/>
      <c r="F667" s="41"/>
    </row>
    <row r="668">
      <c r="B668" s="14"/>
      <c r="E668" s="42"/>
      <c r="F668" s="41"/>
    </row>
    <row r="669">
      <c r="B669" s="14"/>
      <c r="E669" s="42"/>
      <c r="F669" s="41"/>
    </row>
    <row r="670">
      <c r="B670" s="14"/>
      <c r="E670" s="42"/>
      <c r="F670" s="41"/>
    </row>
    <row r="671">
      <c r="B671" s="14"/>
      <c r="E671" s="42"/>
      <c r="F671" s="41"/>
    </row>
    <row r="672">
      <c r="B672" s="14"/>
      <c r="E672" s="42"/>
      <c r="F672" s="41"/>
    </row>
    <row r="673">
      <c r="B673" s="14"/>
      <c r="E673" s="42"/>
      <c r="F673" s="41"/>
    </row>
    <row r="674">
      <c r="B674" s="14"/>
      <c r="E674" s="42"/>
      <c r="F674" s="41"/>
    </row>
    <row r="675">
      <c r="B675" s="14"/>
      <c r="E675" s="42"/>
      <c r="F675" s="41"/>
    </row>
    <row r="676">
      <c r="B676" s="14"/>
      <c r="E676" s="42"/>
      <c r="F676" s="41"/>
    </row>
    <row r="677">
      <c r="B677" s="14"/>
      <c r="E677" s="42"/>
      <c r="F677" s="41"/>
    </row>
    <row r="678">
      <c r="B678" s="14"/>
      <c r="E678" s="42"/>
      <c r="F678" s="41"/>
    </row>
    <row r="679">
      <c r="B679" s="14"/>
      <c r="E679" s="42"/>
      <c r="F679" s="41"/>
    </row>
    <row r="680">
      <c r="B680" s="14"/>
      <c r="E680" s="42"/>
      <c r="F680" s="41"/>
    </row>
    <row r="681">
      <c r="B681" s="14"/>
      <c r="E681" s="42"/>
      <c r="F681" s="41"/>
    </row>
    <row r="682">
      <c r="B682" s="14"/>
      <c r="E682" s="42"/>
      <c r="F682" s="41"/>
    </row>
    <row r="683">
      <c r="B683" s="14"/>
      <c r="E683" s="42"/>
      <c r="F683" s="41"/>
    </row>
    <row r="684">
      <c r="B684" s="14"/>
      <c r="E684" s="42"/>
      <c r="F684" s="41"/>
    </row>
    <row r="685">
      <c r="B685" s="14"/>
      <c r="E685" s="42"/>
      <c r="F685" s="41"/>
    </row>
    <row r="686">
      <c r="B686" s="14"/>
      <c r="E686" s="42"/>
      <c r="F686" s="41"/>
    </row>
    <row r="687">
      <c r="B687" s="14"/>
      <c r="E687" s="42"/>
      <c r="F687" s="41"/>
    </row>
    <row r="688">
      <c r="B688" s="14"/>
      <c r="E688" s="42"/>
      <c r="F688" s="41"/>
    </row>
    <row r="689">
      <c r="B689" s="14"/>
      <c r="E689" s="42"/>
      <c r="F689" s="41"/>
    </row>
    <row r="690">
      <c r="B690" s="14"/>
      <c r="E690" s="42"/>
      <c r="F690" s="41"/>
    </row>
    <row r="691">
      <c r="B691" s="14"/>
      <c r="E691" s="42"/>
      <c r="F691" s="41"/>
    </row>
    <row r="692">
      <c r="B692" s="14"/>
      <c r="E692" s="42"/>
      <c r="F692" s="41"/>
    </row>
    <row r="693">
      <c r="B693" s="14"/>
      <c r="E693" s="42"/>
      <c r="F693" s="41"/>
    </row>
    <row r="694">
      <c r="B694" s="14"/>
      <c r="E694" s="42"/>
      <c r="F694" s="41"/>
    </row>
    <row r="695">
      <c r="B695" s="14"/>
      <c r="E695" s="42"/>
      <c r="F695" s="41"/>
    </row>
    <row r="696">
      <c r="B696" s="14"/>
      <c r="E696" s="42"/>
      <c r="F696" s="41"/>
    </row>
    <row r="697">
      <c r="B697" s="14"/>
      <c r="E697" s="42"/>
      <c r="F697" s="41"/>
    </row>
    <row r="698">
      <c r="B698" s="14"/>
      <c r="E698" s="42"/>
      <c r="F698" s="41"/>
    </row>
    <row r="699">
      <c r="B699" s="14"/>
      <c r="E699" s="42"/>
      <c r="F699" s="41"/>
    </row>
    <row r="700">
      <c r="B700" s="14"/>
      <c r="E700" s="42"/>
      <c r="F700" s="41"/>
    </row>
    <row r="701">
      <c r="B701" s="14"/>
      <c r="E701" s="42"/>
      <c r="F701" s="41"/>
    </row>
    <row r="702">
      <c r="B702" s="14"/>
      <c r="E702" s="42"/>
      <c r="F702" s="41"/>
    </row>
    <row r="703">
      <c r="B703" s="14"/>
      <c r="E703" s="42"/>
      <c r="F703" s="41"/>
    </row>
    <row r="704">
      <c r="B704" s="14"/>
      <c r="E704" s="42"/>
      <c r="F704" s="41"/>
    </row>
    <row r="705">
      <c r="B705" s="14"/>
      <c r="E705" s="42"/>
      <c r="F705" s="41"/>
    </row>
    <row r="706">
      <c r="B706" s="14"/>
      <c r="E706" s="42"/>
      <c r="F706" s="41"/>
    </row>
    <row r="707">
      <c r="B707" s="14"/>
      <c r="E707" s="42"/>
      <c r="F707" s="41"/>
    </row>
    <row r="708">
      <c r="B708" s="14"/>
      <c r="E708" s="42"/>
      <c r="F708" s="41"/>
    </row>
    <row r="709">
      <c r="B709" s="14"/>
      <c r="E709" s="42"/>
      <c r="F709" s="41"/>
    </row>
    <row r="710">
      <c r="B710" s="14"/>
      <c r="E710" s="42"/>
      <c r="F710" s="41"/>
    </row>
    <row r="711">
      <c r="B711" s="14"/>
      <c r="E711" s="42"/>
      <c r="F711" s="41"/>
    </row>
    <row r="712">
      <c r="B712" s="14"/>
      <c r="E712" s="42"/>
      <c r="F712" s="41"/>
    </row>
    <row r="713">
      <c r="B713" s="14"/>
      <c r="E713" s="42"/>
      <c r="F713" s="41"/>
    </row>
    <row r="714">
      <c r="B714" s="14"/>
      <c r="E714" s="42"/>
      <c r="F714" s="41"/>
    </row>
    <row r="715">
      <c r="B715" s="14"/>
      <c r="E715" s="42"/>
      <c r="F715" s="41"/>
    </row>
    <row r="716">
      <c r="B716" s="14"/>
      <c r="E716" s="42"/>
      <c r="F716" s="41"/>
    </row>
    <row r="717">
      <c r="B717" s="14"/>
      <c r="E717" s="42"/>
      <c r="F717" s="41"/>
    </row>
    <row r="718">
      <c r="B718" s="14"/>
      <c r="E718" s="42"/>
      <c r="F718" s="41"/>
    </row>
    <row r="719">
      <c r="B719" s="14"/>
      <c r="E719" s="42"/>
      <c r="F719" s="41"/>
    </row>
    <row r="720">
      <c r="B720" s="14"/>
      <c r="E720" s="42"/>
      <c r="F720" s="41"/>
    </row>
    <row r="721">
      <c r="B721" s="14"/>
      <c r="E721" s="42"/>
      <c r="F721" s="41"/>
    </row>
    <row r="722">
      <c r="B722" s="14"/>
      <c r="E722" s="42"/>
      <c r="F722" s="41"/>
    </row>
    <row r="723">
      <c r="B723" s="14"/>
      <c r="E723" s="42"/>
      <c r="F723" s="41"/>
    </row>
    <row r="724">
      <c r="B724" s="14"/>
      <c r="E724" s="42"/>
      <c r="F724" s="41"/>
    </row>
    <row r="725">
      <c r="B725" s="14"/>
      <c r="E725" s="42"/>
      <c r="F725" s="41"/>
    </row>
    <row r="726">
      <c r="B726" s="14"/>
      <c r="E726" s="42"/>
      <c r="F726" s="41"/>
    </row>
    <row r="727">
      <c r="B727" s="14"/>
      <c r="E727" s="42"/>
      <c r="F727" s="41"/>
    </row>
    <row r="728">
      <c r="B728" s="14"/>
      <c r="E728" s="42"/>
      <c r="F728" s="41"/>
    </row>
    <row r="729">
      <c r="B729" s="14"/>
      <c r="E729" s="42"/>
      <c r="F729" s="41"/>
    </row>
    <row r="730">
      <c r="B730" s="14"/>
      <c r="E730" s="42"/>
      <c r="F730" s="41"/>
    </row>
    <row r="731">
      <c r="B731" s="14"/>
      <c r="E731" s="42"/>
      <c r="F731" s="41"/>
    </row>
    <row r="732">
      <c r="B732" s="14"/>
      <c r="E732" s="42"/>
      <c r="F732" s="41"/>
    </row>
    <row r="733">
      <c r="B733" s="14"/>
      <c r="E733" s="42"/>
      <c r="F733" s="41"/>
    </row>
    <row r="734">
      <c r="B734" s="14"/>
      <c r="E734" s="42"/>
      <c r="F734" s="41"/>
    </row>
    <row r="735">
      <c r="B735" s="14"/>
      <c r="E735" s="42"/>
      <c r="F735" s="41"/>
    </row>
    <row r="736">
      <c r="B736" s="14"/>
      <c r="E736" s="42"/>
      <c r="F736" s="41"/>
    </row>
    <row r="737">
      <c r="B737" s="14"/>
      <c r="E737" s="42"/>
      <c r="F737" s="41"/>
    </row>
    <row r="738">
      <c r="B738" s="14"/>
      <c r="E738" s="42"/>
      <c r="F738" s="41"/>
    </row>
    <row r="739">
      <c r="B739" s="14"/>
      <c r="E739" s="42"/>
      <c r="F739" s="41"/>
    </row>
    <row r="740">
      <c r="B740" s="14"/>
      <c r="E740" s="42"/>
      <c r="F740" s="41"/>
    </row>
    <row r="741">
      <c r="B741" s="14"/>
      <c r="E741" s="42"/>
      <c r="F741" s="41"/>
    </row>
    <row r="742">
      <c r="B742" s="14"/>
      <c r="E742" s="42"/>
      <c r="F742" s="41"/>
    </row>
    <row r="743">
      <c r="B743" s="14"/>
      <c r="E743" s="42"/>
      <c r="F743" s="41"/>
    </row>
    <row r="744">
      <c r="B744" s="14"/>
      <c r="E744" s="42"/>
      <c r="F744" s="41"/>
    </row>
    <row r="745">
      <c r="B745" s="14"/>
      <c r="E745" s="42"/>
      <c r="F745" s="41"/>
    </row>
    <row r="746">
      <c r="B746" s="14"/>
      <c r="E746" s="42"/>
      <c r="F746" s="41"/>
    </row>
    <row r="747">
      <c r="B747" s="14"/>
      <c r="E747" s="42"/>
      <c r="F747" s="41"/>
    </row>
    <row r="748">
      <c r="B748" s="14"/>
      <c r="E748" s="42"/>
      <c r="F748" s="41"/>
    </row>
    <row r="749">
      <c r="B749" s="14"/>
      <c r="E749" s="42"/>
      <c r="F749" s="41"/>
    </row>
    <row r="750">
      <c r="B750" s="14"/>
      <c r="E750" s="42"/>
      <c r="F750" s="41"/>
    </row>
    <row r="751">
      <c r="B751" s="14"/>
      <c r="E751" s="42"/>
      <c r="F751" s="41"/>
    </row>
    <row r="752">
      <c r="B752" s="14"/>
      <c r="E752" s="42"/>
      <c r="F752" s="41"/>
    </row>
    <row r="753">
      <c r="B753" s="14"/>
      <c r="E753" s="42"/>
      <c r="F753" s="41"/>
    </row>
    <row r="754">
      <c r="B754" s="14"/>
      <c r="E754" s="42"/>
      <c r="F754" s="41"/>
    </row>
    <row r="755">
      <c r="B755" s="14"/>
      <c r="E755" s="42"/>
      <c r="F755" s="41"/>
    </row>
    <row r="756">
      <c r="B756" s="14"/>
      <c r="E756" s="42"/>
      <c r="F756" s="41"/>
    </row>
    <row r="757">
      <c r="B757" s="14"/>
      <c r="E757" s="42"/>
      <c r="F757" s="41"/>
    </row>
    <row r="758">
      <c r="B758" s="14"/>
      <c r="E758" s="42"/>
      <c r="F758" s="41"/>
    </row>
    <row r="759">
      <c r="B759" s="14"/>
      <c r="E759" s="42"/>
      <c r="F759" s="41"/>
    </row>
    <row r="760">
      <c r="B760" s="14"/>
      <c r="E760" s="42"/>
      <c r="F760" s="41"/>
    </row>
    <row r="761">
      <c r="B761" s="14"/>
      <c r="E761" s="42"/>
      <c r="F761" s="41"/>
    </row>
    <row r="762">
      <c r="B762" s="14"/>
      <c r="E762" s="42"/>
      <c r="F762" s="41"/>
    </row>
    <row r="763">
      <c r="B763" s="14"/>
      <c r="E763" s="42"/>
      <c r="F763" s="41"/>
    </row>
    <row r="764">
      <c r="B764" s="14"/>
      <c r="E764" s="42"/>
      <c r="F764" s="41"/>
    </row>
    <row r="765">
      <c r="B765" s="14"/>
      <c r="E765" s="42"/>
      <c r="F765" s="41"/>
    </row>
    <row r="766">
      <c r="B766" s="14"/>
      <c r="E766" s="42"/>
      <c r="F766" s="41"/>
    </row>
    <row r="767">
      <c r="B767" s="14"/>
      <c r="E767" s="42"/>
      <c r="F767" s="41"/>
    </row>
    <row r="768">
      <c r="B768" s="14"/>
      <c r="E768" s="42"/>
      <c r="F768" s="41"/>
    </row>
    <row r="769">
      <c r="B769" s="14"/>
      <c r="E769" s="42"/>
      <c r="F769" s="41"/>
    </row>
    <row r="770">
      <c r="B770" s="14"/>
      <c r="E770" s="42"/>
      <c r="F770" s="41"/>
    </row>
    <row r="771">
      <c r="B771" s="14"/>
      <c r="E771" s="42"/>
      <c r="F771" s="41"/>
    </row>
    <row r="772">
      <c r="B772" s="14"/>
      <c r="E772" s="42"/>
      <c r="F772" s="41"/>
    </row>
    <row r="773">
      <c r="B773" s="14"/>
      <c r="E773" s="42"/>
      <c r="F773" s="41"/>
    </row>
    <row r="774">
      <c r="B774" s="14"/>
      <c r="E774" s="42"/>
      <c r="F774" s="41"/>
    </row>
    <row r="775">
      <c r="B775" s="14"/>
      <c r="E775" s="42"/>
      <c r="F775" s="41"/>
    </row>
    <row r="776">
      <c r="B776" s="14"/>
      <c r="E776" s="42"/>
      <c r="F776" s="41"/>
    </row>
    <row r="777">
      <c r="B777" s="14"/>
      <c r="E777" s="42"/>
      <c r="F777" s="41"/>
    </row>
    <row r="778">
      <c r="B778" s="14"/>
      <c r="E778" s="42"/>
      <c r="F778" s="41"/>
    </row>
    <row r="779">
      <c r="B779" s="14"/>
      <c r="E779" s="42"/>
      <c r="F779" s="41"/>
    </row>
    <row r="780">
      <c r="B780" s="14"/>
      <c r="E780" s="42"/>
      <c r="F780" s="41"/>
    </row>
    <row r="781">
      <c r="B781" s="14"/>
      <c r="E781" s="42"/>
      <c r="F781" s="41"/>
    </row>
    <row r="782">
      <c r="B782" s="14"/>
      <c r="E782" s="42"/>
      <c r="F782" s="41"/>
    </row>
    <row r="783">
      <c r="B783" s="14"/>
      <c r="E783" s="42"/>
      <c r="F783" s="41"/>
    </row>
    <row r="784">
      <c r="B784" s="14"/>
      <c r="E784" s="42"/>
      <c r="F784" s="41"/>
    </row>
    <row r="785">
      <c r="B785" s="14"/>
      <c r="E785" s="42"/>
      <c r="F785" s="41"/>
    </row>
    <row r="786">
      <c r="B786" s="14"/>
      <c r="E786" s="42"/>
      <c r="F786" s="41"/>
    </row>
    <row r="787">
      <c r="B787" s="14"/>
      <c r="E787" s="42"/>
      <c r="F787" s="41"/>
    </row>
    <row r="788">
      <c r="B788" s="14"/>
      <c r="E788" s="42"/>
      <c r="F788" s="41"/>
    </row>
    <row r="789">
      <c r="B789" s="14"/>
      <c r="E789" s="42"/>
      <c r="F789" s="41"/>
    </row>
    <row r="790">
      <c r="B790" s="14"/>
      <c r="E790" s="42"/>
      <c r="F790" s="41"/>
    </row>
    <row r="791">
      <c r="B791" s="14"/>
      <c r="E791" s="42"/>
      <c r="F791" s="41"/>
    </row>
    <row r="792">
      <c r="B792" s="14"/>
      <c r="E792" s="42"/>
      <c r="F792" s="41"/>
    </row>
    <row r="793">
      <c r="B793" s="14"/>
      <c r="E793" s="42"/>
      <c r="F793" s="41"/>
    </row>
    <row r="794">
      <c r="B794" s="14"/>
      <c r="E794" s="42"/>
      <c r="F794" s="41"/>
    </row>
    <row r="795">
      <c r="B795" s="14"/>
      <c r="E795" s="42"/>
      <c r="F795" s="41"/>
    </row>
    <row r="796">
      <c r="B796" s="14"/>
      <c r="E796" s="42"/>
      <c r="F796" s="41"/>
    </row>
    <row r="797">
      <c r="B797" s="14"/>
      <c r="E797" s="42"/>
      <c r="F797" s="41"/>
    </row>
    <row r="798">
      <c r="B798" s="14"/>
      <c r="E798" s="42"/>
      <c r="F798" s="41"/>
    </row>
    <row r="799">
      <c r="B799" s="14"/>
      <c r="E799" s="42"/>
      <c r="F799" s="41"/>
    </row>
    <row r="800">
      <c r="B800" s="14"/>
      <c r="E800" s="42"/>
      <c r="F800" s="41"/>
    </row>
    <row r="801">
      <c r="B801" s="14"/>
      <c r="E801" s="42"/>
      <c r="F801" s="41"/>
    </row>
    <row r="802">
      <c r="B802" s="14"/>
      <c r="E802" s="42"/>
      <c r="F802" s="41"/>
    </row>
    <row r="803">
      <c r="B803" s="14"/>
      <c r="E803" s="42"/>
      <c r="F803" s="41"/>
    </row>
    <row r="804">
      <c r="B804" s="14"/>
      <c r="E804" s="42"/>
      <c r="F804" s="41"/>
    </row>
    <row r="805">
      <c r="B805" s="14"/>
      <c r="E805" s="42"/>
      <c r="F805" s="41"/>
    </row>
    <row r="806">
      <c r="B806" s="14"/>
      <c r="E806" s="42"/>
      <c r="F806" s="41"/>
    </row>
    <row r="807">
      <c r="B807" s="14"/>
      <c r="E807" s="42"/>
      <c r="F807" s="41"/>
    </row>
    <row r="808">
      <c r="B808" s="14"/>
      <c r="E808" s="42"/>
      <c r="F808" s="41"/>
    </row>
    <row r="809">
      <c r="B809" s="14"/>
      <c r="E809" s="42"/>
      <c r="F809" s="41"/>
    </row>
    <row r="810">
      <c r="B810" s="14"/>
      <c r="E810" s="42"/>
      <c r="F810" s="41"/>
    </row>
    <row r="811">
      <c r="B811" s="14"/>
      <c r="E811" s="42"/>
      <c r="F811" s="41"/>
    </row>
    <row r="812">
      <c r="B812" s="14"/>
      <c r="E812" s="42"/>
      <c r="F812" s="41"/>
    </row>
    <row r="813">
      <c r="B813" s="14"/>
      <c r="E813" s="42"/>
      <c r="F813" s="41"/>
    </row>
    <row r="814">
      <c r="B814" s="14"/>
      <c r="E814" s="42"/>
      <c r="F814" s="41"/>
    </row>
    <row r="815">
      <c r="B815" s="14"/>
      <c r="E815" s="42"/>
      <c r="F815" s="41"/>
    </row>
    <row r="816">
      <c r="B816" s="14"/>
      <c r="E816" s="42"/>
      <c r="F816" s="41"/>
    </row>
    <row r="817">
      <c r="B817" s="14"/>
      <c r="E817" s="42"/>
      <c r="F817" s="41"/>
    </row>
    <row r="818">
      <c r="B818" s="14"/>
      <c r="E818" s="42"/>
      <c r="F818" s="41"/>
    </row>
    <row r="819">
      <c r="B819" s="14"/>
      <c r="E819" s="42"/>
      <c r="F819" s="41"/>
    </row>
    <row r="820">
      <c r="B820" s="14"/>
      <c r="E820" s="42"/>
      <c r="F820" s="41"/>
    </row>
    <row r="821">
      <c r="B821" s="14"/>
      <c r="E821" s="42"/>
      <c r="F821" s="41"/>
    </row>
    <row r="822">
      <c r="B822" s="14"/>
      <c r="E822" s="42"/>
      <c r="F822" s="41"/>
    </row>
    <row r="823">
      <c r="B823" s="14"/>
      <c r="E823" s="42"/>
      <c r="F823" s="41"/>
    </row>
    <row r="824">
      <c r="B824" s="14"/>
      <c r="E824" s="42"/>
      <c r="F824" s="41"/>
    </row>
    <row r="825">
      <c r="B825" s="14"/>
      <c r="E825" s="42"/>
      <c r="F825" s="41"/>
    </row>
    <row r="826">
      <c r="B826" s="14"/>
      <c r="E826" s="42"/>
      <c r="F826" s="41"/>
    </row>
    <row r="827">
      <c r="B827" s="14"/>
      <c r="E827" s="42"/>
      <c r="F827" s="41"/>
    </row>
    <row r="828">
      <c r="B828" s="14"/>
      <c r="E828" s="42"/>
      <c r="F828" s="41"/>
    </row>
    <row r="829">
      <c r="B829" s="14"/>
      <c r="E829" s="42"/>
      <c r="F829" s="41"/>
    </row>
    <row r="830">
      <c r="B830" s="14"/>
      <c r="E830" s="42"/>
      <c r="F830" s="41"/>
    </row>
    <row r="831">
      <c r="B831" s="14"/>
      <c r="E831" s="42"/>
      <c r="F831" s="41"/>
    </row>
    <row r="832">
      <c r="B832" s="14"/>
      <c r="E832" s="42"/>
      <c r="F832" s="41"/>
    </row>
    <row r="833">
      <c r="B833" s="14"/>
      <c r="E833" s="42"/>
      <c r="F833" s="41"/>
    </row>
    <row r="834">
      <c r="B834" s="14"/>
      <c r="E834" s="42"/>
      <c r="F834" s="41"/>
    </row>
    <row r="835">
      <c r="B835" s="14"/>
      <c r="E835" s="42"/>
      <c r="F835" s="41"/>
    </row>
    <row r="836">
      <c r="B836" s="14"/>
      <c r="E836" s="42"/>
      <c r="F836" s="41"/>
    </row>
    <row r="837">
      <c r="B837" s="14"/>
      <c r="E837" s="42"/>
      <c r="F837" s="41"/>
    </row>
    <row r="838">
      <c r="B838" s="14"/>
      <c r="E838" s="42"/>
      <c r="F838" s="41"/>
    </row>
    <row r="839">
      <c r="B839" s="14"/>
      <c r="E839" s="42"/>
      <c r="F839" s="41"/>
    </row>
    <row r="840">
      <c r="B840" s="14"/>
      <c r="E840" s="42"/>
      <c r="F840" s="41"/>
    </row>
    <row r="841">
      <c r="B841" s="14"/>
      <c r="E841" s="42"/>
      <c r="F841" s="41"/>
    </row>
    <row r="842">
      <c r="B842" s="14"/>
      <c r="E842" s="42"/>
      <c r="F842" s="41"/>
    </row>
    <row r="843">
      <c r="B843" s="14"/>
      <c r="E843" s="42"/>
      <c r="F843" s="41"/>
    </row>
    <row r="844">
      <c r="B844" s="14"/>
      <c r="E844" s="42"/>
      <c r="F844" s="41"/>
    </row>
    <row r="845">
      <c r="B845" s="14"/>
      <c r="E845" s="42"/>
      <c r="F845" s="41"/>
    </row>
    <row r="846">
      <c r="B846" s="14"/>
      <c r="E846" s="42"/>
      <c r="F846" s="41"/>
    </row>
    <row r="847">
      <c r="B847" s="14"/>
      <c r="E847" s="42"/>
      <c r="F847" s="41"/>
    </row>
    <row r="848">
      <c r="B848" s="14"/>
      <c r="E848" s="42"/>
      <c r="F848" s="41"/>
    </row>
    <row r="849">
      <c r="B849" s="14"/>
      <c r="E849" s="42"/>
      <c r="F849" s="41"/>
    </row>
    <row r="850">
      <c r="B850" s="14"/>
      <c r="E850" s="42"/>
      <c r="F850" s="41"/>
    </row>
    <row r="851">
      <c r="B851" s="14"/>
      <c r="E851" s="42"/>
      <c r="F851" s="41"/>
    </row>
    <row r="852">
      <c r="B852" s="14"/>
      <c r="E852" s="42"/>
      <c r="F852" s="41"/>
    </row>
    <row r="853">
      <c r="B853" s="14"/>
      <c r="E853" s="42"/>
      <c r="F853" s="41"/>
    </row>
    <row r="854">
      <c r="B854" s="14"/>
      <c r="E854" s="42"/>
      <c r="F854" s="41"/>
    </row>
    <row r="855">
      <c r="B855" s="14"/>
      <c r="E855" s="42"/>
      <c r="F855" s="41"/>
    </row>
    <row r="856">
      <c r="B856" s="14"/>
      <c r="E856" s="42"/>
      <c r="F856" s="41"/>
    </row>
    <row r="857">
      <c r="B857" s="14"/>
      <c r="E857" s="42"/>
      <c r="F857" s="41"/>
    </row>
    <row r="858">
      <c r="B858" s="14"/>
      <c r="E858" s="42"/>
      <c r="F858" s="41"/>
    </row>
    <row r="859">
      <c r="B859" s="14"/>
      <c r="E859" s="42"/>
      <c r="F859" s="41"/>
    </row>
    <row r="860">
      <c r="B860" s="14"/>
      <c r="E860" s="42"/>
      <c r="F860" s="41"/>
    </row>
    <row r="861">
      <c r="B861" s="14"/>
      <c r="E861" s="42"/>
      <c r="F861" s="41"/>
    </row>
    <row r="862">
      <c r="B862" s="14"/>
      <c r="E862" s="42"/>
      <c r="F862" s="41"/>
    </row>
    <row r="863">
      <c r="B863" s="14"/>
      <c r="E863" s="42"/>
      <c r="F863" s="41"/>
    </row>
    <row r="864">
      <c r="B864" s="14"/>
      <c r="E864" s="42"/>
      <c r="F864" s="41"/>
    </row>
    <row r="865">
      <c r="B865" s="14"/>
      <c r="E865" s="42"/>
      <c r="F865" s="41"/>
    </row>
    <row r="866">
      <c r="B866" s="14"/>
      <c r="E866" s="42"/>
      <c r="F866" s="41"/>
    </row>
    <row r="867">
      <c r="B867" s="14"/>
      <c r="E867" s="42"/>
      <c r="F867" s="41"/>
    </row>
    <row r="868">
      <c r="B868" s="14"/>
      <c r="E868" s="42"/>
      <c r="F868" s="41"/>
    </row>
    <row r="869">
      <c r="B869" s="14"/>
      <c r="E869" s="42"/>
      <c r="F869" s="41"/>
    </row>
    <row r="870">
      <c r="B870" s="14"/>
      <c r="E870" s="42"/>
      <c r="F870" s="41"/>
    </row>
    <row r="871">
      <c r="B871" s="14"/>
      <c r="E871" s="42"/>
      <c r="F871" s="41"/>
    </row>
    <row r="872">
      <c r="B872" s="14"/>
      <c r="E872" s="42"/>
      <c r="F872" s="41"/>
    </row>
    <row r="873">
      <c r="B873" s="14"/>
      <c r="E873" s="42"/>
      <c r="F873" s="41"/>
    </row>
    <row r="874">
      <c r="B874" s="14"/>
      <c r="E874" s="42"/>
      <c r="F874" s="41"/>
    </row>
    <row r="875">
      <c r="B875" s="14"/>
      <c r="E875" s="42"/>
      <c r="F875" s="41"/>
    </row>
    <row r="876">
      <c r="B876" s="14"/>
      <c r="E876" s="42"/>
      <c r="F876" s="41"/>
    </row>
    <row r="877">
      <c r="B877" s="14"/>
      <c r="E877" s="42"/>
      <c r="F877" s="41"/>
    </row>
    <row r="878">
      <c r="B878" s="14"/>
      <c r="E878" s="42"/>
      <c r="F878" s="41"/>
    </row>
    <row r="879">
      <c r="B879" s="14"/>
      <c r="E879" s="42"/>
      <c r="F879" s="41"/>
    </row>
    <row r="880">
      <c r="B880" s="14"/>
      <c r="E880" s="42"/>
      <c r="F880" s="41"/>
    </row>
    <row r="881">
      <c r="B881" s="14"/>
      <c r="E881" s="42"/>
      <c r="F881" s="41"/>
    </row>
    <row r="882">
      <c r="B882" s="14"/>
      <c r="E882" s="42"/>
      <c r="F882" s="41"/>
    </row>
    <row r="883">
      <c r="B883" s="14"/>
      <c r="E883" s="42"/>
      <c r="F883" s="41"/>
    </row>
    <row r="884">
      <c r="B884" s="14"/>
      <c r="E884" s="42"/>
      <c r="F884" s="41"/>
    </row>
    <row r="885">
      <c r="B885" s="14"/>
      <c r="E885" s="42"/>
      <c r="F885" s="41"/>
    </row>
    <row r="886">
      <c r="B886" s="14"/>
      <c r="E886" s="42"/>
      <c r="F886" s="41"/>
    </row>
    <row r="887">
      <c r="B887" s="14"/>
      <c r="E887" s="42"/>
      <c r="F887" s="41"/>
    </row>
    <row r="888">
      <c r="B888" s="14"/>
      <c r="E888" s="42"/>
      <c r="F888" s="41"/>
    </row>
    <row r="889">
      <c r="B889" s="14"/>
      <c r="E889" s="42"/>
      <c r="F889" s="41"/>
    </row>
    <row r="890">
      <c r="B890" s="14"/>
      <c r="E890" s="42"/>
      <c r="F890" s="41"/>
    </row>
    <row r="891">
      <c r="B891" s="14"/>
      <c r="E891" s="42"/>
      <c r="F891" s="41"/>
    </row>
    <row r="892">
      <c r="B892" s="14"/>
      <c r="E892" s="42"/>
      <c r="F892" s="41"/>
    </row>
    <row r="893">
      <c r="B893" s="14"/>
      <c r="E893" s="42"/>
      <c r="F893" s="41"/>
    </row>
    <row r="894">
      <c r="B894" s="14"/>
      <c r="E894" s="42"/>
      <c r="F894" s="41"/>
    </row>
    <row r="895">
      <c r="B895" s="14"/>
      <c r="E895" s="42"/>
      <c r="F895" s="41"/>
    </row>
    <row r="896">
      <c r="B896" s="14"/>
      <c r="E896" s="42"/>
      <c r="F896" s="41"/>
    </row>
    <row r="897">
      <c r="B897" s="14"/>
      <c r="E897" s="42"/>
      <c r="F897" s="41"/>
    </row>
    <row r="898">
      <c r="B898" s="14"/>
      <c r="E898" s="42"/>
      <c r="F898" s="41"/>
    </row>
    <row r="899">
      <c r="B899" s="14"/>
      <c r="E899" s="42"/>
      <c r="F899" s="41"/>
    </row>
    <row r="900">
      <c r="B900" s="14"/>
      <c r="E900" s="42"/>
      <c r="F900" s="41"/>
    </row>
    <row r="901">
      <c r="B901" s="14"/>
      <c r="E901" s="42"/>
      <c r="F901" s="41"/>
    </row>
    <row r="902">
      <c r="B902" s="14"/>
      <c r="E902" s="42"/>
      <c r="F902" s="41"/>
    </row>
    <row r="903">
      <c r="B903" s="14"/>
      <c r="E903" s="42"/>
      <c r="F903" s="41"/>
    </row>
    <row r="904">
      <c r="B904" s="14"/>
      <c r="E904" s="42"/>
      <c r="F904" s="41"/>
    </row>
    <row r="905">
      <c r="B905" s="14"/>
      <c r="E905" s="42"/>
      <c r="F905" s="41"/>
    </row>
    <row r="906">
      <c r="B906" s="14"/>
      <c r="E906" s="42"/>
      <c r="F906" s="41"/>
    </row>
    <row r="907">
      <c r="B907" s="14"/>
      <c r="E907" s="42"/>
      <c r="F907" s="41"/>
    </row>
    <row r="908">
      <c r="B908" s="14"/>
      <c r="E908" s="42"/>
      <c r="F908" s="41"/>
    </row>
    <row r="909">
      <c r="B909" s="14"/>
      <c r="E909" s="42"/>
      <c r="F909" s="41"/>
    </row>
    <row r="910">
      <c r="B910" s="14"/>
      <c r="E910" s="42"/>
      <c r="F910" s="41"/>
    </row>
    <row r="911">
      <c r="B911" s="14"/>
      <c r="E911" s="42"/>
      <c r="F911" s="41"/>
    </row>
    <row r="912">
      <c r="B912" s="14"/>
      <c r="E912" s="42"/>
      <c r="F912" s="41"/>
    </row>
    <row r="913">
      <c r="B913" s="14"/>
      <c r="E913" s="42"/>
      <c r="F913" s="41"/>
    </row>
    <row r="914">
      <c r="B914" s="14"/>
      <c r="E914" s="42"/>
      <c r="F914" s="41"/>
    </row>
    <row r="915">
      <c r="B915" s="14"/>
      <c r="E915" s="42"/>
      <c r="F915" s="41"/>
    </row>
    <row r="916">
      <c r="B916" s="14"/>
      <c r="E916" s="42"/>
      <c r="F916" s="41"/>
    </row>
    <row r="917">
      <c r="B917" s="14"/>
      <c r="E917" s="42"/>
      <c r="F917" s="41"/>
    </row>
    <row r="918">
      <c r="B918" s="14"/>
      <c r="E918" s="42"/>
      <c r="F918" s="41"/>
    </row>
    <row r="919">
      <c r="B919" s="14"/>
      <c r="E919" s="42"/>
      <c r="F919" s="41"/>
    </row>
    <row r="920">
      <c r="B920" s="14"/>
      <c r="E920" s="42"/>
      <c r="F920" s="41"/>
    </row>
    <row r="921">
      <c r="B921" s="14"/>
      <c r="E921" s="42"/>
      <c r="F921" s="41"/>
    </row>
    <row r="922">
      <c r="B922" s="14"/>
      <c r="E922" s="42"/>
      <c r="F922" s="41"/>
    </row>
    <row r="923">
      <c r="B923" s="14"/>
      <c r="E923" s="42"/>
      <c r="F923" s="41"/>
    </row>
    <row r="924">
      <c r="B924" s="14"/>
      <c r="E924" s="42"/>
      <c r="F924" s="41"/>
    </row>
    <row r="925">
      <c r="B925" s="14"/>
      <c r="E925" s="42"/>
      <c r="F925" s="41"/>
    </row>
    <row r="926">
      <c r="B926" s="14"/>
      <c r="E926" s="42"/>
      <c r="F926" s="41"/>
    </row>
    <row r="927">
      <c r="B927" s="14"/>
      <c r="E927" s="42"/>
      <c r="F927" s="41"/>
    </row>
    <row r="928">
      <c r="B928" s="14"/>
      <c r="E928" s="42"/>
      <c r="F928" s="41"/>
    </row>
    <row r="929">
      <c r="B929" s="14"/>
      <c r="E929" s="42"/>
      <c r="F929" s="41"/>
    </row>
    <row r="930">
      <c r="B930" s="14"/>
      <c r="E930" s="42"/>
      <c r="F930" s="41"/>
    </row>
    <row r="931">
      <c r="B931" s="14"/>
      <c r="E931" s="42"/>
      <c r="F931" s="41"/>
    </row>
    <row r="932">
      <c r="B932" s="14"/>
      <c r="E932" s="42"/>
      <c r="F932" s="41"/>
    </row>
    <row r="933">
      <c r="B933" s="14"/>
      <c r="E933" s="42"/>
      <c r="F933" s="41"/>
    </row>
    <row r="934">
      <c r="B934" s="14"/>
      <c r="E934" s="42"/>
      <c r="F934" s="41"/>
    </row>
    <row r="935">
      <c r="B935" s="14"/>
      <c r="E935" s="42"/>
      <c r="F935" s="41"/>
    </row>
    <row r="936">
      <c r="B936" s="14"/>
      <c r="E936" s="42"/>
      <c r="F936" s="41"/>
    </row>
    <row r="937">
      <c r="B937" s="14"/>
      <c r="E937" s="42"/>
      <c r="F937" s="41"/>
    </row>
    <row r="938">
      <c r="B938" s="14"/>
      <c r="E938" s="42"/>
      <c r="F938" s="41"/>
    </row>
    <row r="939">
      <c r="B939" s="14"/>
      <c r="E939" s="42"/>
      <c r="F939" s="41"/>
    </row>
    <row r="940">
      <c r="B940" s="14"/>
      <c r="E940" s="42"/>
      <c r="F940" s="41"/>
    </row>
    <row r="941">
      <c r="B941" s="14"/>
      <c r="E941" s="42"/>
      <c r="F941" s="41"/>
    </row>
    <row r="942">
      <c r="B942" s="14"/>
      <c r="E942" s="42"/>
      <c r="F942" s="41"/>
    </row>
    <row r="943">
      <c r="B943" s="14"/>
      <c r="E943" s="42"/>
      <c r="F943" s="41"/>
    </row>
    <row r="944">
      <c r="B944" s="14"/>
      <c r="E944" s="42"/>
      <c r="F944" s="41"/>
    </row>
    <row r="945">
      <c r="B945" s="14"/>
      <c r="E945" s="42"/>
      <c r="F945" s="41"/>
    </row>
    <row r="946">
      <c r="B946" s="14"/>
      <c r="E946" s="42"/>
      <c r="F946" s="41"/>
    </row>
    <row r="947">
      <c r="B947" s="14"/>
      <c r="E947" s="42"/>
      <c r="F947" s="41"/>
    </row>
    <row r="948">
      <c r="B948" s="14"/>
      <c r="E948" s="42"/>
      <c r="F948" s="41"/>
    </row>
    <row r="949">
      <c r="B949" s="14"/>
      <c r="E949" s="42"/>
      <c r="F949" s="41"/>
    </row>
    <row r="950">
      <c r="B950" s="14"/>
      <c r="E950" s="42"/>
      <c r="F950" s="41"/>
    </row>
    <row r="951">
      <c r="B951" s="14"/>
      <c r="E951" s="42"/>
      <c r="F951" s="41"/>
    </row>
    <row r="952">
      <c r="B952" s="14"/>
      <c r="E952" s="42"/>
      <c r="F952" s="41"/>
    </row>
    <row r="953">
      <c r="B953" s="14"/>
      <c r="E953" s="42"/>
      <c r="F953" s="41"/>
    </row>
    <row r="954">
      <c r="B954" s="14"/>
      <c r="E954" s="42"/>
      <c r="F954" s="41"/>
    </row>
    <row r="955">
      <c r="B955" s="14"/>
      <c r="E955" s="42"/>
      <c r="F955" s="41"/>
    </row>
    <row r="956">
      <c r="B956" s="14"/>
      <c r="E956" s="42"/>
      <c r="F956" s="41"/>
    </row>
    <row r="957">
      <c r="B957" s="14"/>
      <c r="E957" s="42"/>
      <c r="F957" s="41"/>
    </row>
    <row r="958">
      <c r="B958" s="14"/>
      <c r="E958" s="42"/>
      <c r="F958" s="41"/>
    </row>
    <row r="959">
      <c r="B959" s="14"/>
      <c r="E959" s="42"/>
      <c r="F959" s="41"/>
    </row>
    <row r="960">
      <c r="B960" s="14"/>
      <c r="E960" s="42"/>
      <c r="F960" s="41"/>
    </row>
    <row r="961">
      <c r="B961" s="14"/>
      <c r="E961" s="42"/>
      <c r="F961" s="41"/>
    </row>
    <row r="962">
      <c r="B962" s="14"/>
      <c r="E962" s="42"/>
      <c r="F962" s="41"/>
    </row>
    <row r="963">
      <c r="B963" s="14"/>
      <c r="E963" s="42"/>
      <c r="F963" s="41"/>
    </row>
    <row r="964">
      <c r="B964" s="14"/>
      <c r="E964" s="42"/>
      <c r="F964" s="41"/>
    </row>
    <row r="965">
      <c r="B965" s="14"/>
      <c r="E965" s="42"/>
      <c r="F965" s="41"/>
    </row>
    <row r="966">
      <c r="B966" s="14"/>
      <c r="E966" s="42"/>
      <c r="F966" s="41"/>
    </row>
    <row r="967">
      <c r="B967" s="14"/>
      <c r="E967" s="42"/>
      <c r="F967" s="41"/>
    </row>
    <row r="968">
      <c r="B968" s="14"/>
      <c r="E968" s="42"/>
      <c r="F968" s="41"/>
    </row>
    <row r="969">
      <c r="B969" s="14"/>
      <c r="E969" s="42"/>
      <c r="F969" s="41"/>
    </row>
    <row r="970">
      <c r="B970" s="14"/>
      <c r="E970" s="42"/>
      <c r="F970" s="41"/>
    </row>
    <row r="971">
      <c r="B971" s="14"/>
      <c r="E971" s="42"/>
      <c r="F971" s="41"/>
    </row>
    <row r="972">
      <c r="B972" s="14"/>
      <c r="E972" s="42"/>
      <c r="F972" s="41"/>
    </row>
    <row r="973">
      <c r="B973" s="14"/>
      <c r="E973" s="42"/>
      <c r="F973" s="41"/>
    </row>
    <row r="974">
      <c r="B974" s="14"/>
      <c r="E974" s="42"/>
      <c r="F974" s="41"/>
    </row>
    <row r="975">
      <c r="B975" s="14"/>
      <c r="E975" s="42"/>
      <c r="F975" s="41"/>
    </row>
    <row r="976">
      <c r="B976" s="14"/>
      <c r="E976" s="42"/>
      <c r="F976" s="41"/>
    </row>
    <row r="977">
      <c r="B977" s="14"/>
      <c r="E977" s="42"/>
      <c r="F977" s="41"/>
    </row>
    <row r="978">
      <c r="B978" s="14"/>
      <c r="E978" s="42"/>
      <c r="F978" s="41"/>
    </row>
    <row r="979">
      <c r="B979" s="14"/>
      <c r="E979" s="42"/>
      <c r="F979" s="41"/>
    </row>
    <row r="980">
      <c r="B980" s="14"/>
      <c r="E980" s="42"/>
      <c r="F980" s="41"/>
    </row>
    <row r="981">
      <c r="B981" s="14"/>
      <c r="E981" s="42"/>
      <c r="F981" s="41"/>
    </row>
    <row r="982">
      <c r="B982" s="14"/>
      <c r="E982" s="42"/>
      <c r="F982" s="41"/>
    </row>
    <row r="983">
      <c r="B983" s="14"/>
      <c r="E983" s="42"/>
      <c r="F983" s="41"/>
    </row>
    <row r="984">
      <c r="B984" s="14"/>
      <c r="E984" s="42"/>
      <c r="F984" s="41"/>
    </row>
    <row r="985">
      <c r="B985" s="14"/>
      <c r="E985" s="42"/>
      <c r="F985" s="41"/>
    </row>
    <row r="986">
      <c r="B986" s="14"/>
      <c r="E986" s="42"/>
      <c r="F986" s="41"/>
    </row>
    <row r="987">
      <c r="B987" s="14"/>
      <c r="E987" s="42"/>
      <c r="F987" s="41"/>
    </row>
    <row r="988">
      <c r="B988" s="14"/>
      <c r="E988" s="42"/>
      <c r="F988" s="41"/>
    </row>
    <row r="989">
      <c r="B989" s="14"/>
      <c r="E989" s="42"/>
      <c r="F989" s="41"/>
    </row>
    <row r="990">
      <c r="B990" s="14"/>
      <c r="E990" s="42"/>
      <c r="F990" s="41"/>
    </row>
    <row r="991">
      <c r="B991" s="14"/>
      <c r="E991" s="42"/>
      <c r="F991" s="41"/>
    </row>
    <row r="992">
      <c r="B992" s="14"/>
      <c r="E992" s="42"/>
      <c r="F992" s="41"/>
    </row>
    <row r="993">
      <c r="B993" s="14"/>
      <c r="E993" s="42"/>
      <c r="F993" s="41"/>
    </row>
    <row r="994">
      <c r="B994" s="14"/>
      <c r="E994" s="42"/>
      <c r="F994" s="41"/>
    </row>
    <row r="995">
      <c r="B995" s="14"/>
      <c r="E995" s="42"/>
      <c r="F995" s="41"/>
    </row>
    <row r="996">
      <c r="B996" s="14"/>
      <c r="E996" s="42"/>
      <c r="F996" s="41"/>
    </row>
    <row r="997">
      <c r="B997" s="14"/>
      <c r="E997" s="42"/>
      <c r="F997" s="41"/>
    </row>
    <row r="998">
      <c r="B998" s="14"/>
      <c r="E998" s="42"/>
      <c r="F998" s="41"/>
    </row>
    <row r="999">
      <c r="B999" s="14"/>
      <c r="E999" s="42"/>
      <c r="F999" s="41"/>
    </row>
    <row r="1000">
      <c r="B1000" s="14"/>
      <c r="E1000" s="42"/>
      <c r="F1000" s="41"/>
    </row>
  </sheetData>
  <dataValidations>
    <dataValidation type="custom" allowBlank="1" showDropDown="1" sqref="D2:D201">
      <formula1>OR(NOT(ISERROR(DATEVALUE(D2))), AND(ISNUMBER(D2), LEFT(CELL("format", D2))="D"))</formula1>
    </dataValidation>
    <dataValidation type="custom" allowBlank="1" showDropDown="1" sqref="B2:B201 E2:E201">
      <formula1>AND(ISNUMBER(B2),(NOT(OR(NOT(ISERROR(DATEVALUE(B2))), AND(ISNUMBER(B2), LEFT(CELL("format", B2))="D")))))</formula1>
    </dataValidation>
    <dataValidation allowBlank="1" showDropDown="1" sqref="A2:A201 F2:F201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7.5"/>
    <col customWidth="1" min="3" max="3" width="3.88"/>
    <col customWidth="1" min="4" max="4" width="4.0"/>
    <col customWidth="1" min="5" max="5" width="9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6.0"/>
    <col customWidth="1" min="3" max="3" width="37.63"/>
    <col customWidth="1" min="5" max="5" width="16.5"/>
    <col customWidth="1" min="6" max="6" width="16.38"/>
  </cols>
  <sheetData>
    <row r="1" ht="22.5" customHeight="1">
      <c r="A1" s="26" t="s">
        <v>0</v>
      </c>
      <c r="B1" s="27" t="s">
        <v>1</v>
      </c>
      <c r="C1" s="26" t="s">
        <v>2</v>
      </c>
      <c r="D1" s="29" t="s">
        <v>3</v>
      </c>
      <c r="E1" s="26" t="s">
        <v>4</v>
      </c>
      <c r="F1" s="26" t="s">
        <v>5</v>
      </c>
    </row>
    <row r="2" ht="22.5" customHeight="1">
      <c r="A2" s="31" t="s">
        <v>6</v>
      </c>
      <c r="B2" s="32">
        <v>1.250000116E9</v>
      </c>
      <c r="C2" s="31" t="s">
        <v>7</v>
      </c>
      <c r="D2" s="34">
        <v>45250.0</v>
      </c>
      <c r="E2" s="31" t="s">
        <v>8</v>
      </c>
      <c r="F2" s="31" t="s">
        <v>9</v>
      </c>
    </row>
    <row r="3" ht="22.5" customHeight="1">
      <c r="A3" s="31" t="s">
        <v>10</v>
      </c>
      <c r="B3" s="32">
        <v>1.250000505E9</v>
      </c>
      <c r="C3" s="31" t="s">
        <v>11</v>
      </c>
      <c r="D3" s="34">
        <v>45294.0</v>
      </c>
      <c r="E3" s="31" t="s">
        <v>12</v>
      </c>
      <c r="F3" s="31" t="s">
        <v>13</v>
      </c>
    </row>
    <row r="4" ht="22.5" customHeight="1">
      <c r="A4" s="31" t="s">
        <v>14</v>
      </c>
      <c r="B4" s="32">
        <v>1.250001764E9</v>
      </c>
      <c r="C4" s="31" t="s">
        <v>15</v>
      </c>
      <c r="D4" s="34">
        <v>45294.0</v>
      </c>
      <c r="E4" s="31" t="s">
        <v>16</v>
      </c>
      <c r="F4" s="31" t="s">
        <v>13</v>
      </c>
    </row>
    <row r="5" ht="22.5" customHeight="1">
      <c r="A5" s="31" t="s">
        <v>17</v>
      </c>
      <c r="B5" s="32">
        <v>1.250001496E9</v>
      </c>
      <c r="C5" s="31" t="s">
        <v>18</v>
      </c>
      <c r="D5" s="34">
        <v>45294.0</v>
      </c>
      <c r="E5" s="31" t="s">
        <v>19</v>
      </c>
      <c r="F5" s="31" t="s">
        <v>13</v>
      </c>
    </row>
    <row r="6" ht="22.5" customHeight="1">
      <c r="A6" s="31" t="s">
        <v>20</v>
      </c>
      <c r="B6" s="32">
        <v>1.200006565E9</v>
      </c>
      <c r="C6" s="31" t="s">
        <v>21</v>
      </c>
      <c r="D6" s="34">
        <v>45294.0</v>
      </c>
      <c r="E6" s="31" t="s">
        <v>22</v>
      </c>
      <c r="F6" s="31" t="s">
        <v>13</v>
      </c>
    </row>
    <row r="7" ht="22.5" customHeight="1">
      <c r="A7" s="31" t="s">
        <v>23</v>
      </c>
      <c r="B7" s="32">
        <v>1.250004966E9</v>
      </c>
      <c r="C7" s="31" t="s">
        <v>24</v>
      </c>
      <c r="D7" s="34">
        <v>45294.0</v>
      </c>
      <c r="E7" s="31" t="s">
        <v>25</v>
      </c>
      <c r="F7" s="31" t="s">
        <v>13</v>
      </c>
    </row>
    <row r="8" ht="22.5" customHeight="1">
      <c r="A8" s="31" t="s">
        <v>26</v>
      </c>
      <c r="B8" s="32">
        <v>1.250001764E9</v>
      </c>
      <c r="C8" s="31" t="s">
        <v>15</v>
      </c>
      <c r="D8" s="34">
        <v>45294.0</v>
      </c>
      <c r="E8" s="31" t="s">
        <v>27</v>
      </c>
      <c r="F8" s="31" t="s">
        <v>13</v>
      </c>
    </row>
    <row r="9" ht="22.5" customHeight="1">
      <c r="A9" s="31" t="s">
        <v>28</v>
      </c>
      <c r="B9" s="32">
        <v>1.250001142E9</v>
      </c>
      <c r="C9" s="31" t="s">
        <v>29</v>
      </c>
      <c r="D9" s="34">
        <v>45294.0</v>
      </c>
      <c r="E9" s="31" t="s">
        <v>30</v>
      </c>
      <c r="F9" s="31" t="s">
        <v>9</v>
      </c>
    </row>
    <row r="10" ht="22.5" customHeight="1">
      <c r="A10" s="31" t="s">
        <v>31</v>
      </c>
      <c r="B10" s="32">
        <v>1.200006417E9</v>
      </c>
      <c r="C10" s="31" t="s">
        <v>32</v>
      </c>
      <c r="D10" s="34">
        <v>45295.0</v>
      </c>
      <c r="E10" s="31" t="s">
        <v>16</v>
      </c>
      <c r="F10" s="31" t="s">
        <v>9</v>
      </c>
    </row>
    <row r="11" ht="22.5" customHeight="1">
      <c r="A11" s="31" t="s">
        <v>33</v>
      </c>
      <c r="B11" s="32">
        <v>1.250010315E9</v>
      </c>
      <c r="C11" s="31" t="s">
        <v>34</v>
      </c>
      <c r="D11" s="34">
        <v>45295.0</v>
      </c>
      <c r="E11" s="31" t="s">
        <v>35</v>
      </c>
      <c r="F11" s="31" t="s">
        <v>13</v>
      </c>
    </row>
    <row r="12" ht="22.5" customHeight="1">
      <c r="A12" s="31" t="s">
        <v>36</v>
      </c>
      <c r="B12" s="32">
        <v>1.250004938E9</v>
      </c>
      <c r="C12" s="31" t="s">
        <v>37</v>
      </c>
      <c r="D12" s="34">
        <v>45295.0</v>
      </c>
      <c r="E12" s="31" t="s">
        <v>38</v>
      </c>
      <c r="F12" s="31" t="s">
        <v>13</v>
      </c>
    </row>
    <row r="13" ht="22.5" customHeight="1">
      <c r="A13" s="31" t="s">
        <v>39</v>
      </c>
      <c r="B13" s="32">
        <v>1.250003997E9</v>
      </c>
      <c r="C13" s="31" t="s">
        <v>40</v>
      </c>
      <c r="D13" s="34">
        <v>45295.0</v>
      </c>
      <c r="E13" s="31" t="s">
        <v>41</v>
      </c>
      <c r="F13" s="31" t="s">
        <v>13</v>
      </c>
    </row>
    <row r="14" ht="22.5" customHeight="1">
      <c r="A14" s="31" t="s">
        <v>42</v>
      </c>
      <c r="B14" s="32">
        <v>1.250003421E9</v>
      </c>
      <c r="C14" s="31" t="s">
        <v>43</v>
      </c>
      <c r="D14" s="34">
        <v>45295.0</v>
      </c>
      <c r="E14" s="31" t="s">
        <v>44</v>
      </c>
      <c r="F14" s="31" t="s">
        <v>9</v>
      </c>
    </row>
    <row r="15" ht="22.5" customHeight="1">
      <c r="A15" s="31" t="s">
        <v>45</v>
      </c>
      <c r="B15" s="32">
        <v>1.200009067E9</v>
      </c>
      <c r="C15" s="31" t="s">
        <v>46</v>
      </c>
      <c r="D15" s="34">
        <v>45296.0</v>
      </c>
      <c r="E15" s="31" t="s">
        <v>47</v>
      </c>
      <c r="F15" s="31" t="s">
        <v>13</v>
      </c>
    </row>
    <row r="16" ht="22.5" customHeight="1">
      <c r="A16" s="31" t="s">
        <v>48</v>
      </c>
      <c r="B16" s="32">
        <v>1.250000118E9</v>
      </c>
      <c r="C16" s="31" t="s">
        <v>49</v>
      </c>
      <c r="D16" s="34">
        <v>45296.0</v>
      </c>
      <c r="E16" s="31" t="s">
        <v>50</v>
      </c>
      <c r="F16" s="31" t="s">
        <v>13</v>
      </c>
    </row>
    <row r="17" ht="22.5" customHeight="1">
      <c r="A17" s="31" t="s">
        <v>51</v>
      </c>
      <c r="B17" s="32">
        <v>1.250001741E9</v>
      </c>
      <c r="C17" s="31" t="s">
        <v>52</v>
      </c>
      <c r="D17" s="34">
        <v>45296.0</v>
      </c>
      <c r="E17" s="31" t="s">
        <v>53</v>
      </c>
      <c r="F17" s="31" t="s">
        <v>9</v>
      </c>
    </row>
    <row r="18" ht="22.5" customHeight="1">
      <c r="A18" s="31" t="s">
        <v>54</v>
      </c>
      <c r="B18" s="32">
        <v>1.250001142E9</v>
      </c>
      <c r="C18" s="31" t="s">
        <v>29</v>
      </c>
      <c r="D18" s="34">
        <v>45296.0</v>
      </c>
      <c r="E18" s="31" t="s">
        <v>55</v>
      </c>
      <c r="F18" s="31" t="s">
        <v>9</v>
      </c>
    </row>
    <row r="19" ht="22.5" customHeight="1">
      <c r="A19" s="31" t="s">
        <v>56</v>
      </c>
      <c r="B19" s="32">
        <v>1.200007688E9</v>
      </c>
      <c r="C19" s="31" t="s">
        <v>57</v>
      </c>
      <c r="D19" s="34">
        <v>45299.0</v>
      </c>
      <c r="E19" s="31" t="s">
        <v>58</v>
      </c>
      <c r="F19" s="31" t="s">
        <v>13</v>
      </c>
    </row>
    <row r="20" ht="22.5" customHeight="1">
      <c r="A20" s="31" t="s">
        <v>59</v>
      </c>
      <c r="B20" s="32">
        <v>1.250000913E9</v>
      </c>
      <c r="C20" s="31" t="s">
        <v>60</v>
      </c>
      <c r="D20" s="34">
        <v>45299.0</v>
      </c>
      <c r="E20" s="31" t="s">
        <v>61</v>
      </c>
      <c r="F20" s="31" t="s">
        <v>13</v>
      </c>
    </row>
    <row r="21" ht="22.5" customHeight="1">
      <c r="A21" s="31" t="s">
        <v>62</v>
      </c>
      <c r="B21" s="32">
        <v>1.250010259E9</v>
      </c>
      <c r="C21" s="31" t="s">
        <v>63</v>
      </c>
      <c r="D21" s="34">
        <v>45299.0</v>
      </c>
      <c r="E21" s="31" t="s">
        <v>64</v>
      </c>
      <c r="F21" s="31" t="s">
        <v>9</v>
      </c>
    </row>
    <row r="22" ht="22.5" customHeight="1">
      <c r="A22" s="31" t="s">
        <v>65</v>
      </c>
      <c r="B22" s="32">
        <v>1.250009502E9</v>
      </c>
      <c r="C22" s="31" t="s">
        <v>66</v>
      </c>
      <c r="D22" s="34">
        <v>45299.0</v>
      </c>
      <c r="E22" s="31" t="s">
        <v>67</v>
      </c>
      <c r="F22" s="31" t="s">
        <v>13</v>
      </c>
    </row>
    <row r="23" ht="22.5" customHeight="1">
      <c r="A23" s="31" t="s">
        <v>68</v>
      </c>
      <c r="B23" s="32">
        <v>1.250010233E9</v>
      </c>
      <c r="C23" s="31" t="s">
        <v>69</v>
      </c>
      <c r="D23" s="34">
        <v>45299.0</v>
      </c>
      <c r="E23" s="31" t="s">
        <v>70</v>
      </c>
      <c r="F23" s="31" t="s">
        <v>13</v>
      </c>
    </row>
    <row r="24" ht="22.5" customHeight="1">
      <c r="A24" s="31" t="s">
        <v>71</v>
      </c>
      <c r="B24" s="32">
        <v>1.250001764E9</v>
      </c>
      <c r="C24" s="31" t="s">
        <v>15</v>
      </c>
      <c r="D24" s="34">
        <v>45299.0</v>
      </c>
      <c r="E24" s="31" t="s">
        <v>72</v>
      </c>
      <c r="F24" s="31" t="s">
        <v>13</v>
      </c>
    </row>
    <row r="25" ht="22.5" customHeight="1">
      <c r="A25" s="31" t="s">
        <v>73</v>
      </c>
      <c r="B25" s="32">
        <v>1.250001764E9</v>
      </c>
      <c r="C25" s="31" t="s">
        <v>15</v>
      </c>
      <c r="D25" s="34">
        <v>45300.0</v>
      </c>
      <c r="E25" s="31" t="s">
        <v>74</v>
      </c>
      <c r="F25" s="31" t="s">
        <v>13</v>
      </c>
    </row>
    <row r="26" ht="22.5" customHeight="1">
      <c r="A26" s="31" t="s">
        <v>75</v>
      </c>
      <c r="B26" s="32">
        <v>1.200007688E9</v>
      </c>
      <c r="C26" s="31" t="s">
        <v>57</v>
      </c>
      <c r="D26" s="34">
        <v>45300.0</v>
      </c>
      <c r="E26" s="31" t="s">
        <v>76</v>
      </c>
      <c r="F26" s="31" t="s">
        <v>13</v>
      </c>
    </row>
    <row r="27" ht="22.5" customHeight="1">
      <c r="A27" s="31" t="s">
        <v>77</v>
      </c>
      <c r="B27" s="32">
        <v>1.200007688E9</v>
      </c>
      <c r="C27" s="31" t="s">
        <v>57</v>
      </c>
      <c r="D27" s="34">
        <v>45300.0</v>
      </c>
      <c r="E27" s="31" t="s">
        <v>76</v>
      </c>
      <c r="F27" s="31" t="s">
        <v>13</v>
      </c>
    </row>
    <row r="28" ht="22.5" customHeight="1">
      <c r="A28" s="31" t="s">
        <v>78</v>
      </c>
      <c r="B28" s="32">
        <v>1.200007688E9</v>
      </c>
      <c r="C28" s="31" t="s">
        <v>57</v>
      </c>
      <c r="D28" s="34">
        <v>45300.0</v>
      </c>
      <c r="E28" s="31" t="s">
        <v>76</v>
      </c>
      <c r="F28" s="31" t="s">
        <v>13</v>
      </c>
    </row>
    <row r="29" ht="22.5" customHeight="1">
      <c r="A29" s="31" t="s">
        <v>79</v>
      </c>
      <c r="B29" s="32">
        <v>1.200007688E9</v>
      </c>
      <c r="C29" s="31" t="s">
        <v>57</v>
      </c>
      <c r="D29" s="34">
        <v>45300.0</v>
      </c>
      <c r="E29" s="31" t="s">
        <v>76</v>
      </c>
      <c r="F29" s="31" t="s">
        <v>13</v>
      </c>
    </row>
    <row r="30" ht="22.5" customHeight="1">
      <c r="A30" s="31" t="s">
        <v>80</v>
      </c>
      <c r="B30" s="32">
        <v>1.250002203E9</v>
      </c>
      <c r="C30" s="31" t="s">
        <v>81</v>
      </c>
      <c r="D30" s="34">
        <v>45300.0</v>
      </c>
      <c r="E30" s="31" t="s">
        <v>82</v>
      </c>
      <c r="F30" s="31" t="s">
        <v>13</v>
      </c>
    </row>
    <row r="31" ht="22.5" customHeight="1">
      <c r="A31" s="31" t="s">
        <v>83</v>
      </c>
      <c r="B31" s="32">
        <v>1.250009745E9</v>
      </c>
      <c r="C31" s="31" t="s">
        <v>84</v>
      </c>
      <c r="D31" s="34">
        <v>45300.0</v>
      </c>
      <c r="E31" s="31" t="s">
        <v>85</v>
      </c>
      <c r="F31" s="31" t="s">
        <v>13</v>
      </c>
    </row>
    <row r="32" ht="22.5" customHeight="1">
      <c r="A32" s="31" t="s">
        <v>86</v>
      </c>
      <c r="B32" s="32">
        <v>1.20000892E9</v>
      </c>
      <c r="C32" s="31" t="s">
        <v>87</v>
      </c>
      <c r="D32" s="34">
        <v>45301.0</v>
      </c>
      <c r="E32" s="31" t="s">
        <v>88</v>
      </c>
      <c r="F32" s="31" t="s">
        <v>13</v>
      </c>
    </row>
    <row r="33" ht="22.5" customHeight="1">
      <c r="A33" s="31" t="s">
        <v>89</v>
      </c>
      <c r="B33" s="32">
        <v>1.20000789E9</v>
      </c>
      <c r="C33" s="31" t="s">
        <v>90</v>
      </c>
      <c r="D33" s="34">
        <v>45301.0</v>
      </c>
      <c r="E33" s="31" t="s">
        <v>91</v>
      </c>
      <c r="F33" s="31" t="s">
        <v>13</v>
      </c>
    </row>
    <row r="34" ht="22.5" customHeight="1">
      <c r="A34" s="31" t="s">
        <v>92</v>
      </c>
      <c r="B34" s="32">
        <v>1.250009892E9</v>
      </c>
      <c r="C34" s="31" t="s">
        <v>93</v>
      </c>
      <c r="D34" s="34">
        <v>45301.0</v>
      </c>
      <c r="E34" s="31" t="s">
        <v>94</v>
      </c>
      <c r="F34" s="31" t="s">
        <v>13</v>
      </c>
    </row>
    <row r="35" ht="22.5" customHeight="1">
      <c r="A35" s="31" t="s">
        <v>95</v>
      </c>
      <c r="B35" s="32">
        <v>1.250009892E9</v>
      </c>
      <c r="C35" s="31" t="s">
        <v>93</v>
      </c>
      <c r="D35" s="34">
        <v>45301.0</v>
      </c>
      <c r="E35" s="31" t="s">
        <v>96</v>
      </c>
      <c r="F35" s="31" t="s">
        <v>13</v>
      </c>
    </row>
    <row r="36" ht="22.5" customHeight="1">
      <c r="A36" s="31" t="s">
        <v>97</v>
      </c>
      <c r="B36" s="32">
        <v>1.250010341E9</v>
      </c>
      <c r="C36" s="31" t="s">
        <v>98</v>
      </c>
      <c r="D36" s="34">
        <v>45302.0</v>
      </c>
      <c r="E36" s="31" t="s">
        <v>99</v>
      </c>
      <c r="F36" s="31" t="s">
        <v>13</v>
      </c>
    </row>
    <row r="37" ht="22.5" customHeight="1">
      <c r="A37" s="31" t="s">
        <v>100</v>
      </c>
      <c r="B37" s="32">
        <v>1.250010341E9</v>
      </c>
      <c r="C37" s="31" t="s">
        <v>98</v>
      </c>
      <c r="D37" s="34">
        <v>45302.0</v>
      </c>
      <c r="E37" s="31" t="s">
        <v>101</v>
      </c>
      <c r="F37" s="31" t="s">
        <v>13</v>
      </c>
    </row>
    <row r="38" ht="22.5" customHeight="1">
      <c r="A38" s="31" t="s">
        <v>102</v>
      </c>
      <c r="B38" s="32">
        <v>1.250001348E9</v>
      </c>
      <c r="C38" s="31" t="s">
        <v>103</v>
      </c>
      <c r="D38" s="34">
        <v>45302.0</v>
      </c>
      <c r="E38" s="31" t="s">
        <v>104</v>
      </c>
      <c r="F38" s="31" t="s">
        <v>13</v>
      </c>
    </row>
    <row r="39" ht="22.5" customHeight="1">
      <c r="A39" s="31" t="s">
        <v>105</v>
      </c>
      <c r="B39" s="32">
        <v>1.250000034E9</v>
      </c>
      <c r="C39" s="31" t="s">
        <v>106</v>
      </c>
      <c r="D39" s="34">
        <v>45302.0</v>
      </c>
      <c r="E39" s="31" t="s">
        <v>107</v>
      </c>
      <c r="F39" s="31" t="s">
        <v>9</v>
      </c>
    </row>
    <row r="40" ht="22.5" customHeight="1">
      <c r="A40" s="31" t="s">
        <v>108</v>
      </c>
      <c r="B40" s="32">
        <v>1.250009745E9</v>
      </c>
      <c r="C40" s="31" t="s">
        <v>84</v>
      </c>
      <c r="D40" s="34">
        <v>45303.0</v>
      </c>
      <c r="E40" s="31" t="s">
        <v>109</v>
      </c>
      <c r="F40" s="31" t="s">
        <v>13</v>
      </c>
    </row>
    <row r="41" ht="22.5" customHeight="1">
      <c r="A41" s="31" t="s">
        <v>110</v>
      </c>
      <c r="B41" s="32">
        <v>1.250004887E9</v>
      </c>
      <c r="C41" s="31" t="s">
        <v>111</v>
      </c>
      <c r="D41" s="34">
        <v>45303.0</v>
      </c>
      <c r="E41" s="31" t="s">
        <v>112</v>
      </c>
      <c r="F41" s="31" t="s">
        <v>13</v>
      </c>
    </row>
    <row r="42" ht="22.5" customHeight="1">
      <c r="A42" s="31" t="s">
        <v>113</v>
      </c>
      <c r="B42" s="32">
        <v>1.250009745E9</v>
      </c>
      <c r="C42" s="31" t="s">
        <v>84</v>
      </c>
      <c r="D42" s="34">
        <v>45303.0</v>
      </c>
      <c r="E42" s="31" t="s">
        <v>114</v>
      </c>
      <c r="F42" s="31" t="s">
        <v>13</v>
      </c>
    </row>
    <row r="43" ht="22.5" customHeight="1">
      <c r="A43" s="31" t="s">
        <v>115</v>
      </c>
      <c r="B43" s="32">
        <v>1.250003753E9</v>
      </c>
      <c r="C43" s="31" t="s">
        <v>116</v>
      </c>
      <c r="D43" s="34">
        <v>45303.0</v>
      </c>
      <c r="E43" s="31" t="s">
        <v>117</v>
      </c>
      <c r="F43" s="31" t="s">
        <v>13</v>
      </c>
    </row>
    <row r="44" ht="22.5" customHeight="1">
      <c r="A44" s="31" t="s">
        <v>118</v>
      </c>
      <c r="B44" s="32">
        <v>1.250000438E9</v>
      </c>
      <c r="C44" s="31" t="s">
        <v>119</v>
      </c>
      <c r="D44" s="34">
        <v>45303.0</v>
      </c>
      <c r="E44" s="31" t="s">
        <v>120</v>
      </c>
      <c r="F44" s="31" t="s">
        <v>9</v>
      </c>
    </row>
    <row r="45" ht="22.5" customHeight="1">
      <c r="A45" s="31" t="s">
        <v>121</v>
      </c>
      <c r="B45" s="32">
        <v>1.250001496E9</v>
      </c>
      <c r="C45" s="31" t="s">
        <v>18</v>
      </c>
      <c r="D45" s="34">
        <v>45304.0</v>
      </c>
      <c r="E45" s="31" t="s">
        <v>122</v>
      </c>
      <c r="F45" s="31" t="s">
        <v>13</v>
      </c>
    </row>
    <row r="46" ht="22.5" customHeight="1">
      <c r="A46" s="31" t="s">
        <v>123</v>
      </c>
      <c r="B46" s="32">
        <v>1.250001496E9</v>
      </c>
      <c r="C46" s="31" t="s">
        <v>18</v>
      </c>
      <c r="D46" s="34">
        <v>45304.0</v>
      </c>
      <c r="E46" s="31" t="s">
        <v>124</v>
      </c>
      <c r="F46" s="31" t="s">
        <v>13</v>
      </c>
    </row>
    <row r="47" ht="22.5" customHeight="1">
      <c r="A47" s="31" t="s">
        <v>125</v>
      </c>
      <c r="B47" s="32">
        <v>1.250001496E9</v>
      </c>
      <c r="C47" s="31" t="s">
        <v>18</v>
      </c>
      <c r="D47" s="34">
        <v>45304.0</v>
      </c>
      <c r="E47" s="31" t="s">
        <v>126</v>
      </c>
      <c r="F47" s="31" t="s">
        <v>13</v>
      </c>
    </row>
    <row r="48" ht="22.5" customHeight="1">
      <c r="A48" s="31" t="s">
        <v>127</v>
      </c>
      <c r="B48" s="32">
        <v>1.200007409E9</v>
      </c>
      <c r="C48" s="31" t="s">
        <v>128</v>
      </c>
      <c r="D48" s="34">
        <v>45306.0</v>
      </c>
      <c r="E48" s="31" t="s">
        <v>129</v>
      </c>
      <c r="F48" s="31" t="s">
        <v>13</v>
      </c>
    </row>
    <row r="49" ht="22.5" customHeight="1">
      <c r="A49" s="31" t="s">
        <v>130</v>
      </c>
      <c r="B49" s="32">
        <v>1.250004371E9</v>
      </c>
      <c r="C49" s="31" t="s">
        <v>131</v>
      </c>
      <c r="D49" s="34">
        <v>45306.0</v>
      </c>
      <c r="E49" s="31" t="s">
        <v>132</v>
      </c>
      <c r="F49" s="31" t="s">
        <v>13</v>
      </c>
    </row>
    <row r="50" ht="22.5" customHeight="1">
      <c r="A50" s="31" t="s">
        <v>133</v>
      </c>
      <c r="B50" s="32">
        <v>1.200008426E9</v>
      </c>
      <c r="C50" s="31" t="s">
        <v>134</v>
      </c>
      <c r="D50" s="34">
        <v>45306.0</v>
      </c>
      <c r="E50" s="31" t="s">
        <v>135</v>
      </c>
      <c r="F50" s="31" t="s">
        <v>13</v>
      </c>
    </row>
    <row r="51" ht="22.5" customHeight="1">
      <c r="A51" s="31" t="s">
        <v>136</v>
      </c>
      <c r="B51" s="32">
        <v>1.250010348E9</v>
      </c>
      <c r="C51" s="31" t="s">
        <v>137</v>
      </c>
      <c r="D51" s="34">
        <v>45306.0</v>
      </c>
      <c r="E51" s="31" t="s">
        <v>138</v>
      </c>
      <c r="F51" s="31" t="s">
        <v>139</v>
      </c>
    </row>
    <row r="52" ht="22.5" customHeight="1">
      <c r="A52" s="31" t="s">
        <v>140</v>
      </c>
      <c r="B52" s="32">
        <v>1.250001764E9</v>
      </c>
      <c r="C52" s="31" t="s">
        <v>15</v>
      </c>
      <c r="D52" s="34">
        <v>45307.0</v>
      </c>
      <c r="E52" s="31" t="s">
        <v>141</v>
      </c>
      <c r="F52" s="31" t="s">
        <v>13</v>
      </c>
    </row>
    <row r="53" ht="22.5" customHeight="1">
      <c r="A53" s="31" t="s">
        <v>142</v>
      </c>
      <c r="B53" s="32">
        <v>1.250004887E9</v>
      </c>
      <c r="C53" s="31" t="s">
        <v>111</v>
      </c>
      <c r="D53" s="34">
        <v>45307.0</v>
      </c>
      <c r="E53" s="31" t="s">
        <v>143</v>
      </c>
      <c r="F53" s="31" t="s">
        <v>13</v>
      </c>
    </row>
    <row r="54" ht="22.5" customHeight="1">
      <c r="A54" s="31" t="s">
        <v>144</v>
      </c>
      <c r="B54" s="32">
        <v>1.250001319E9</v>
      </c>
      <c r="C54" s="31" t="s">
        <v>145</v>
      </c>
      <c r="D54" s="34">
        <v>45307.0</v>
      </c>
      <c r="E54" s="31" t="s">
        <v>146</v>
      </c>
      <c r="F54" s="31" t="s">
        <v>13</v>
      </c>
    </row>
    <row r="55" ht="22.5" customHeight="1">
      <c r="A55" s="31" t="s">
        <v>147</v>
      </c>
      <c r="B55" s="32">
        <v>1.250002059E9</v>
      </c>
      <c r="C55" s="31" t="s">
        <v>148</v>
      </c>
      <c r="D55" s="34">
        <v>45307.0</v>
      </c>
      <c r="E55" s="31" t="s">
        <v>149</v>
      </c>
      <c r="F55" s="31" t="s">
        <v>13</v>
      </c>
    </row>
    <row r="56" ht="22.5" customHeight="1">
      <c r="A56" s="31" t="s">
        <v>150</v>
      </c>
      <c r="B56" s="32">
        <v>1.250001319E9</v>
      </c>
      <c r="C56" s="31" t="s">
        <v>145</v>
      </c>
      <c r="D56" s="34">
        <v>45307.0</v>
      </c>
      <c r="E56" s="31" t="s">
        <v>151</v>
      </c>
      <c r="F56" s="31" t="s">
        <v>13</v>
      </c>
    </row>
    <row r="57" ht="22.5" customHeight="1">
      <c r="A57" s="31" t="s">
        <v>152</v>
      </c>
      <c r="B57" s="32">
        <v>1.250001319E9</v>
      </c>
      <c r="C57" s="31" t="s">
        <v>145</v>
      </c>
      <c r="D57" s="34">
        <v>45307.0</v>
      </c>
      <c r="E57" s="31" t="s">
        <v>153</v>
      </c>
      <c r="F57" s="31" t="s">
        <v>13</v>
      </c>
    </row>
    <row r="58" ht="22.5" customHeight="1">
      <c r="A58" s="31" t="s">
        <v>154</v>
      </c>
      <c r="B58" s="32">
        <v>1.250003015E9</v>
      </c>
      <c r="C58" s="31" t="s">
        <v>155</v>
      </c>
      <c r="D58" s="34">
        <v>45307.0</v>
      </c>
      <c r="E58" s="31" t="s">
        <v>156</v>
      </c>
      <c r="F58" s="31" t="s">
        <v>13</v>
      </c>
    </row>
    <row r="59" ht="22.5" customHeight="1">
      <c r="A59" s="31" t="s">
        <v>157</v>
      </c>
      <c r="B59" s="32">
        <v>1.250003015E9</v>
      </c>
      <c r="C59" s="31" t="s">
        <v>155</v>
      </c>
      <c r="D59" s="34">
        <v>45307.0</v>
      </c>
      <c r="E59" s="31" t="s">
        <v>158</v>
      </c>
      <c r="F59" s="31" t="s">
        <v>13</v>
      </c>
    </row>
    <row r="60" ht="22.5" customHeight="1">
      <c r="A60" s="31" t="s">
        <v>159</v>
      </c>
      <c r="B60" s="32">
        <v>1.25000178E9</v>
      </c>
      <c r="C60" s="31" t="s">
        <v>160</v>
      </c>
      <c r="D60" s="34">
        <v>45308.0</v>
      </c>
      <c r="E60" s="31" t="s">
        <v>161</v>
      </c>
      <c r="F60" s="31" t="s">
        <v>13</v>
      </c>
    </row>
    <row r="61" ht="22.5" customHeight="1">
      <c r="A61" s="31" t="s">
        <v>162</v>
      </c>
      <c r="B61" s="32">
        <v>1.200008537E9</v>
      </c>
      <c r="C61" s="31" t="s">
        <v>163</v>
      </c>
      <c r="D61" s="34">
        <v>45308.0</v>
      </c>
      <c r="E61" s="31" t="s">
        <v>164</v>
      </c>
      <c r="F61" s="31" t="s">
        <v>13</v>
      </c>
    </row>
    <row r="62" ht="22.5" customHeight="1">
      <c r="A62" s="31" t="s">
        <v>165</v>
      </c>
      <c r="B62" s="32">
        <v>1.250009423E9</v>
      </c>
      <c r="C62" s="31" t="s">
        <v>166</v>
      </c>
      <c r="D62" s="34">
        <v>45308.0</v>
      </c>
      <c r="E62" s="31" t="s">
        <v>167</v>
      </c>
      <c r="F62" s="31" t="s">
        <v>13</v>
      </c>
    </row>
    <row r="63" ht="22.5" customHeight="1">
      <c r="A63" s="31" t="s">
        <v>168</v>
      </c>
      <c r="B63" s="32">
        <v>1.200006917E9</v>
      </c>
      <c r="C63" s="31" t="s">
        <v>169</v>
      </c>
      <c r="D63" s="34">
        <v>45308.0</v>
      </c>
      <c r="E63" s="31" t="s">
        <v>170</v>
      </c>
      <c r="F63" s="31" t="s">
        <v>13</v>
      </c>
    </row>
    <row r="64" ht="22.5" customHeight="1">
      <c r="A64" s="31" t="s">
        <v>171</v>
      </c>
      <c r="B64" s="32">
        <v>1.250002653E9</v>
      </c>
      <c r="C64" s="31" t="s">
        <v>172</v>
      </c>
      <c r="D64" s="34">
        <v>45308.0</v>
      </c>
      <c r="E64" s="31" t="s">
        <v>173</v>
      </c>
      <c r="F64" s="31" t="s">
        <v>13</v>
      </c>
    </row>
    <row r="65" ht="22.5" customHeight="1">
      <c r="A65" s="31" t="s">
        <v>174</v>
      </c>
      <c r="B65" s="32">
        <v>1.250001178E9</v>
      </c>
      <c r="C65" s="31" t="s">
        <v>175</v>
      </c>
      <c r="D65" s="34">
        <v>45309.0</v>
      </c>
      <c r="E65" s="31" t="s">
        <v>176</v>
      </c>
      <c r="F65" s="31" t="s">
        <v>13</v>
      </c>
    </row>
    <row r="66" ht="22.5" customHeight="1">
      <c r="A66" s="31" t="s">
        <v>177</v>
      </c>
      <c r="B66" s="32">
        <v>1.250004411E9</v>
      </c>
      <c r="C66" s="31" t="s">
        <v>178</v>
      </c>
      <c r="D66" s="34">
        <v>45309.0</v>
      </c>
      <c r="E66" s="31" t="s">
        <v>179</v>
      </c>
      <c r="F66" s="31" t="s">
        <v>13</v>
      </c>
    </row>
    <row r="67" ht="22.5" customHeight="1">
      <c r="A67" s="31" t="s">
        <v>180</v>
      </c>
      <c r="B67" s="32">
        <v>1.200007752E9</v>
      </c>
      <c r="C67" s="31" t="s">
        <v>181</v>
      </c>
      <c r="D67" s="34">
        <v>45309.0</v>
      </c>
      <c r="E67" s="31" t="s">
        <v>182</v>
      </c>
      <c r="F67" s="31" t="s">
        <v>13</v>
      </c>
    </row>
    <row r="68" ht="22.5" customHeight="1">
      <c r="A68" s="31" t="s">
        <v>183</v>
      </c>
      <c r="B68" s="32">
        <v>1.220000614E9</v>
      </c>
      <c r="C68" s="31" t="s">
        <v>184</v>
      </c>
      <c r="D68" s="34">
        <v>45310.0</v>
      </c>
      <c r="E68" s="31" t="s">
        <v>185</v>
      </c>
      <c r="F68" s="31" t="s">
        <v>13</v>
      </c>
    </row>
    <row r="69" ht="22.5" customHeight="1">
      <c r="A69" s="31" t="s">
        <v>186</v>
      </c>
      <c r="B69" s="32">
        <v>1.200007686E9</v>
      </c>
      <c r="C69" s="31" t="s">
        <v>187</v>
      </c>
      <c r="D69" s="34">
        <v>45310.0</v>
      </c>
      <c r="E69" s="31" t="s">
        <v>188</v>
      </c>
      <c r="F69" s="31" t="s">
        <v>13</v>
      </c>
    </row>
    <row r="70" ht="22.5" customHeight="1">
      <c r="A70" s="31" t="s">
        <v>189</v>
      </c>
      <c r="B70" s="32">
        <v>1.250000164E9</v>
      </c>
      <c r="C70" s="31" t="s">
        <v>190</v>
      </c>
      <c r="D70" s="34">
        <v>45313.0</v>
      </c>
      <c r="E70" s="31" t="s">
        <v>191</v>
      </c>
      <c r="F70" s="31" t="s">
        <v>13</v>
      </c>
    </row>
    <row r="71" ht="22.5" customHeight="1">
      <c r="A71" s="31" t="s">
        <v>192</v>
      </c>
      <c r="B71" s="32">
        <v>1.200008786E9</v>
      </c>
      <c r="C71" s="31" t="s">
        <v>193</v>
      </c>
      <c r="D71" s="34">
        <v>45313.0</v>
      </c>
      <c r="E71" s="31" t="s">
        <v>194</v>
      </c>
      <c r="F71" s="31" t="s">
        <v>13</v>
      </c>
    </row>
    <row r="72" ht="22.5" customHeight="1">
      <c r="A72" s="31" t="s">
        <v>195</v>
      </c>
      <c r="B72" s="32">
        <v>1.200006917E9</v>
      </c>
      <c r="C72" s="31" t="s">
        <v>169</v>
      </c>
      <c r="D72" s="34">
        <v>45313.0</v>
      </c>
      <c r="E72" s="31" t="s">
        <v>196</v>
      </c>
      <c r="F72" s="31" t="s">
        <v>13</v>
      </c>
    </row>
    <row r="73" ht="22.5" customHeight="1">
      <c r="A73" s="31" t="s">
        <v>197</v>
      </c>
      <c r="B73" s="32">
        <v>1.250002653E9</v>
      </c>
      <c r="C73" s="31" t="s">
        <v>172</v>
      </c>
      <c r="D73" s="34">
        <v>45313.0</v>
      </c>
      <c r="E73" s="31" t="s">
        <v>198</v>
      </c>
      <c r="F73" s="31" t="s">
        <v>13</v>
      </c>
    </row>
    <row r="74" ht="22.5" customHeight="1">
      <c r="A74" s="31" t="s">
        <v>199</v>
      </c>
      <c r="B74" s="32">
        <v>1.250005019E9</v>
      </c>
      <c r="C74" s="31" t="s">
        <v>200</v>
      </c>
      <c r="D74" s="34">
        <v>45313.0</v>
      </c>
      <c r="E74" s="31" t="s">
        <v>201</v>
      </c>
      <c r="F74" s="31" t="s">
        <v>13</v>
      </c>
    </row>
    <row r="75" ht="22.5" customHeight="1">
      <c r="A75" s="31" t="s">
        <v>202</v>
      </c>
      <c r="B75" s="32">
        <v>1.250005019E9</v>
      </c>
      <c r="C75" s="31" t="s">
        <v>200</v>
      </c>
      <c r="D75" s="34">
        <v>45313.0</v>
      </c>
      <c r="E75" s="31" t="s">
        <v>203</v>
      </c>
      <c r="F75" s="31" t="s">
        <v>13</v>
      </c>
    </row>
    <row r="76" ht="22.5" customHeight="1">
      <c r="A76" s="31" t="s">
        <v>204</v>
      </c>
      <c r="B76" s="32">
        <v>1.250009576E9</v>
      </c>
      <c r="C76" s="31" t="s">
        <v>205</v>
      </c>
      <c r="D76" s="34">
        <v>45313.0</v>
      </c>
      <c r="E76" s="31" t="s">
        <v>206</v>
      </c>
      <c r="F76" s="31" t="s">
        <v>13</v>
      </c>
    </row>
    <row r="77" ht="22.5" customHeight="1">
      <c r="A77" s="31" t="s">
        <v>207</v>
      </c>
      <c r="B77" s="32">
        <v>1.200007818E9</v>
      </c>
      <c r="C77" s="31" t="s">
        <v>208</v>
      </c>
      <c r="D77" s="34">
        <v>45313.0</v>
      </c>
      <c r="E77" s="31" t="s">
        <v>209</v>
      </c>
      <c r="F77" s="31" t="s">
        <v>9</v>
      </c>
    </row>
    <row r="78" ht="22.5" customHeight="1">
      <c r="A78" s="31" t="s">
        <v>210</v>
      </c>
      <c r="B78" s="32">
        <v>1.250001764E9</v>
      </c>
      <c r="C78" s="31" t="s">
        <v>15</v>
      </c>
      <c r="D78" s="34">
        <v>45314.0</v>
      </c>
      <c r="E78" s="31" t="s">
        <v>211</v>
      </c>
      <c r="F78" s="31" t="s">
        <v>13</v>
      </c>
    </row>
    <row r="79" ht="22.5" customHeight="1">
      <c r="A79" s="31" t="s">
        <v>212</v>
      </c>
      <c r="B79" s="32">
        <v>1.250010352E9</v>
      </c>
      <c r="C79" s="31" t="s">
        <v>213</v>
      </c>
      <c r="D79" s="34">
        <v>45314.0</v>
      </c>
      <c r="E79" s="31" t="s">
        <v>214</v>
      </c>
      <c r="F79" s="31" t="s">
        <v>139</v>
      </c>
    </row>
    <row r="80" ht="22.5" customHeight="1">
      <c r="A80" s="31" t="s">
        <v>215</v>
      </c>
      <c r="B80" s="32">
        <v>1.250001276E9</v>
      </c>
      <c r="C80" s="31" t="s">
        <v>216</v>
      </c>
      <c r="D80" s="34">
        <v>45314.0</v>
      </c>
      <c r="E80" s="31" t="s">
        <v>217</v>
      </c>
      <c r="F80" s="31" t="s">
        <v>9</v>
      </c>
    </row>
    <row r="81" ht="22.5" customHeight="1">
      <c r="A81" s="31" t="s">
        <v>218</v>
      </c>
      <c r="B81" s="32">
        <v>1.250001764E9</v>
      </c>
      <c r="C81" s="31" t="s">
        <v>15</v>
      </c>
      <c r="D81" s="34">
        <v>45314.0</v>
      </c>
      <c r="E81" s="31" t="s">
        <v>219</v>
      </c>
      <c r="F81" s="31" t="s">
        <v>13</v>
      </c>
    </row>
    <row r="82" ht="22.5" customHeight="1">
      <c r="A82" s="31" t="s">
        <v>220</v>
      </c>
      <c r="B82" s="32">
        <v>1.200008869E9</v>
      </c>
      <c r="C82" s="31" t="s">
        <v>221</v>
      </c>
      <c r="D82" s="34">
        <v>45314.0</v>
      </c>
      <c r="E82" s="31" t="s">
        <v>222</v>
      </c>
      <c r="F82" s="31" t="s">
        <v>13</v>
      </c>
    </row>
    <row r="83" ht="22.5" customHeight="1">
      <c r="A83" s="31" t="s">
        <v>223</v>
      </c>
      <c r="B83" s="32">
        <v>1.200008243E9</v>
      </c>
      <c r="C83" s="31" t="s">
        <v>224</v>
      </c>
      <c r="D83" s="34">
        <v>45314.0</v>
      </c>
      <c r="E83" s="31" t="s">
        <v>225</v>
      </c>
      <c r="F83" s="31" t="s">
        <v>13</v>
      </c>
    </row>
    <row r="84" ht="22.5" customHeight="1">
      <c r="A84" s="31" t="s">
        <v>226</v>
      </c>
      <c r="B84" s="32">
        <v>1.250009576E9</v>
      </c>
      <c r="C84" s="31" t="s">
        <v>205</v>
      </c>
      <c r="D84" s="34">
        <v>45314.0</v>
      </c>
      <c r="E84" s="31" t="s">
        <v>227</v>
      </c>
      <c r="F84" s="31" t="s">
        <v>13</v>
      </c>
    </row>
    <row r="85" ht="22.5" customHeight="1">
      <c r="A85" s="31" t="s">
        <v>228</v>
      </c>
      <c r="B85" s="32">
        <v>1.250001142E9</v>
      </c>
      <c r="C85" s="31" t="s">
        <v>29</v>
      </c>
      <c r="D85" s="34">
        <v>45314.0</v>
      </c>
      <c r="E85" s="31" t="s">
        <v>229</v>
      </c>
      <c r="F85" s="31" t="s">
        <v>9</v>
      </c>
    </row>
    <row r="86" ht="22.5" customHeight="1">
      <c r="A86" s="31" t="s">
        <v>230</v>
      </c>
      <c r="B86" s="32">
        <v>1.250002423E9</v>
      </c>
      <c r="C86" s="31" t="s">
        <v>231</v>
      </c>
      <c r="D86" s="34">
        <v>45314.0</v>
      </c>
      <c r="E86" s="31" t="s">
        <v>232</v>
      </c>
      <c r="F86" s="31" t="s">
        <v>9</v>
      </c>
    </row>
    <row r="87" ht="22.5" customHeight="1">
      <c r="A87" s="31" t="s">
        <v>233</v>
      </c>
      <c r="B87" s="32">
        <v>1.250001142E9</v>
      </c>
      <c r="C87" s="31" t="s">
        <v>29</v>
      </c>
      <c r="D87" s="34">
        <v>45314.0</v>
      </c>
      <c r="E87" s="31" t="s">
        <v>234</v>
      </c>
      <c r="F87" s="31" t="s">
        <v>9</v>
      </c>
    </row>
    <row r="88" ht="22.5" customHeight="1">
      <c r="A88" s="31" t="s">
        <v>235</v>
      </c>
      <c r="B88" s="32">
        <v>1.250001764E9</v>
      </c>
      <c r="C88" s="31" t="s">
        <v>15</v>
      </c>
      <c r="D88" s="34">
        <v>45314.0</v>
      </c>
      <c r="E88" s="31" t="s">
        <v>236</v>
      </c>
      <c r="F88" s="31" t="s">
        <v>13</v>
      </c>
    </row>
    <row r="89" ht="22.5" customHeight="1">
      <c r="A89" s="31" t="s">
        <v>237</v>
      </c>
      <c r="B89" s="32">
        <v>1.250000438E9</v>
      </c>
      <c r="C89" s="31" t="s">
        <v>119</v>
      </c>
      <c r="D89" s="34">
        <v>45315.0</v>
      </c>
      <c r="E89" s="31" t="s">
        <v>238</v>
      </c>
      <c r="F89" s="31" t="s">
        <v>9</v>
      </c>
    </row>
    <row r="90" ht="22.5" customHeight="1">
      <c r="A90" s="31" t="s">
        <v>239</v>
      </c>
      <c r="B90" s="32">
        <v>1.250000147E9</v>
      </c>
      <c r="C90" s="31" t="s">
        <v>240</v>
      </c>
      <c r="D90" s="34">
        <v>45315.0</v>
      </c>
      <c r="E90" s="31" t="s">
        <v>241</v>
      </c>
      <c r="F90" s="31" t="s">
        <v>13</v>
      </c>
    </row>
    <row r="91" ht="22.5" customHeight="1">
      <c r="A91" s="31" t="s">
        <v>242</v>
      </c>
      <c r="B91" s="32">
        <v>1.200007752E9</v>
      </c>
      <c r="C91" s="31" t="s">
        <v>181</v>
      </c>
      <c r="D91" s="34">
        <v>45315.0</v>
      </c>
      <c r="E91" s="31" t="s">
        <v>243</v>
      </c>
      <c r="F91" s="31" t="s">
        <v>13</v>
      </c>
    </row>
    <row r="92" ht="22.5" customHeight="1">
      <c r="A92" s="31" t="s">
        <v>244</v>
      </c>
      <c r="B92" s="32">
        <v>1.250000629E9</v>
      </c>
      <c r="C92" s="31" t="s">
        <v>245</v>
      </c>
      <c r="D92" s="34">
        <v>45315.0</v>
      </c>
      <c r="E92" s="31" t="s">
        <v>246</v>
      </c>
      <c r="F92" s="31" t="s">
        <v>9</v>
      </c>
    </row>
    <row r="93" ht="22.5" customHeight="1">
      <c r="A93" s="31" t="s">
        <v>247</v>
      </c>
      <c r="B93" s="32">
        <v>1.250000629E9</v>
      </c>
      <c r="C93" s="31" t="s">
        <v>245</v>
      </c>
      <c r="D93" s="34">
        <v>45315.0</v>
      </c>
      <c r="E93" s="31" t="s">
        <v>248</v>
      </c>
      <c r="F93" s="31" t="s">
        <v>9</v>
      </c>
    </row>
    <row r="94" ht="22.5" customHeight="1">
      <c r="A94" s="31" t="s">
        <v>249</v>
      </c>
      <c r="B94" s="32">
        <v>1.250000438E9</v>
      </c>
      <c r="C94" s="31" t="s">
        <v>119</v>
      </c>
      <c r="D94" s="34">
        <v>45315.0</v>
      </c>
      <c r="E94" s="31" t="s">
        <v>250</v>
      </c>
      <c r="F94" s="31" t="s">
        <v>9</v>
      </c>
    </row>
    <row r="95" ht="22.5" customHeight="1">
      <c r="A95" s="31" t="s">
        <v>251</v>
      </c>
      <c r="B95" s="32">
        <v>1.250000255E9</v>
      </c>
      <c r="C95" s="31" t="s">
        <v>252</v>
      </c>
      <c r="D95" s="34">
        <v>45315.0</v>
      </c>
      <c r="E95" s="31" t="s">
        <v>253</v>
      </c>
      <c r="F95" s="31" t="s">
        <v>9</v>
      </c>
    </row>
    <row r="96" ht="22.5" customHeight="1">
      <c r="A96" s="31" t="s">
        <v>254</v>
      </c>
      <c r="B96" s="32">
        <v>1.250003683E9</v>
      </c>
      <c r="C96" s="31" t="s">
        <v>255</v>
      </c>
      <c r="D96" s="34">
        <v>45315.0</v>
      </c>
      <c r="E96" s="31" t="s">
        <v>256</v>
      </c>
      <c r="F96" s="31" t="s">
        <v>13</v>
      </c>
    </row>
    <row r="97" ht="22.5" customHeight="1">
      <c r="A97" s="31" t="s">
        <v>257</v>
      </c>
      <c r="B97" s="32">
        <v>1.250000438E9</v>
      </c>
      <c r="C97" s="31" t="s">
        <v>119</v>
      </c>
      <c r="D97" s="34">
        <v>45315.0</v>
      </c>
      <c r="E97" s="31" t="s">
        <v>258</v>
      </c>
      <c r="F97" s="31" t="s">
        <v>9</v>
      </c>
    </row>
    <row r="98" ht="22.5" customHeight="1">
      <c r="A98" s="31" t="s">
        <v>259</v>
      </c>
      <c r="B98" s="32">
        <v>1.250000438E9</v>
      </c>
      <c r="C98" s="31" t="s">
        <v>119</v>
      </c>
      <c r="D98" s="34">
        <v>45315.0</v>
      </c>
      <c r="E98" s="31" t="s">
        <v>260</v>
      </c>
      <c r="F98" s="31" t="s">
        <v>9</v>
      </c>
    </row>
    <row r="99" ht="22.5" customHeight="1">
      <c r="A99" s="31" t="s">
        <v>261</v>
      </c>
      <c r="B99" s="32">
        <v>1.250002297E9</v>
      </c>
      <c r="C99" s="31" t="s">
        <v>262</v>
      </c>
      <c r="D99" s="34">
        <v>45316.0</v>
      </c>
      <c r="E99" s="31" t="s">
        <v>263</v>
      </c>
      <c r="F99" s="31" t="s">
        <v>9</v>
      </c>
    </row>
    <row r="100" ht="22.5" customHeight="1">
      <c r="A100" s="31" t="s">
        <v>264</v>
      </c>
      <c r="B100" s="32">
        <v>1.200008027E9</v>
      </c>
      <c r="C100" s="31" t="s">
        <v>265</v>
      </c>
      <c r="D100" s="34">
        <v>45316.0</v>
      </c>
      <c r="E100" s="31" t="s">
        <v>196</v>
      </c>
      <c r="F100" s="31" t="s">
        <v>13</v>
      </c>
    </row>
    <row r="101" ht="22.5" customHeight="1">
      <c r="A101" s="31" t="s">
        <v>266</v>
      </c>
      <c r="B101" s="32">
        <v>1.200008447E9</v>
      </c>
      <c r="C101" s="31" t="s">
        <v>267</v>
      </c>
      <c r="D101" s="34">
        <v>45316.0</v>
      </c>
      <c r="E101" s="31" t="s">
        <v>268</v>
      </c>
      <c r="F101" s="31" t="s">
        <v>13</v>
      </c>
    </row>
    <row r="102" ht="22.5" customHeight="1">
      <c r="A102" s="31" t="s">
        <v>269</v>
      </c>
      <c r="B102" s="32">
        <v>1.250010361E9</v>
      </c>
      <c r="C102" s="31" t="s">
        <v>270</v>
      </c>
      <c r="D102" s="34">
        <v>45317.0</v>
      </c>
      <c r="E102" s="31" t="s">
        <v>271</v>
      </c>
      <c r="F102" s="31" t="s">
        <v>139</v>
      </c>
    </row>
    <row r="103" ht="22.5" customHeight="1">
      <c r="A103" s="31" t="s">
        <v>272</v>
      </c>
      <c r="B103" s="32">
        <v>1.25000382E9</v>
      </c>
      <c r="C103" s="31" t="s">
        <v>273</v>
      </c>
      <c r="D103" s="34">
        <v>45317.0</v>
      </c>
      <c r="E103" s="31" t="s">
        <v>274</v>
      </c>
      <c r="F103" s="31" t="s">
        <v>13</v>
      </c>
    </row>
    <row r="104" ht="22.5" customHeight="1">
      <c r="A104" s="31" t="s">
        <v>275</v>
      </c>
      <c r="B104" s="32">
        <v>1.250001434E9</v>
      </c>
      <c r="C104" s="31" t="s">
        <v>276</v>
      </c>
      <c r="D104" s="34">
        <v>45317.0</v>
      </c>
      <c r="E104" s="31" t="s">
        <v>277</v>
      </c>
      <c r="F104" s="31" t="s">
        <v>9</v>
      </c>
    </row>
    <row r="105" ht="22.5" customHeight="1">
      <c r="A105" s="31" t="s">
        <v>278</v>
      </c>
      <c r="B105" s="32">
        <v>1.250001628E9</v>
      </c>
      <c r="C105" s="31" t="s">
        <v>279</v>
      </c>
      <c r="D105" s="34">
        <v>45317.0</v>
      </c>
      <c r="E105" s="31" t="s">
        <v>280</v>
      </c>
      <c r="F105" s="31" t="s">
        <v>13</v>
      </c>
    </row>
    <row r="106" ht="22.5" customHeight="1">
      <c r="A106" s="31" t="s">
        <v>281</v>
      </c>
      <c r="B106" s="32">
        <v>1.200006583E9</v>
      </c>
      <c r="C106" s="31" t="s">
        <v>282</v>
      </c>
      <c r="D106" s="34">
        <v>45318.0</v>
      </c>
      <c r="E106" s="31" t="s">
        <v>283</v>
      </c>
      <c r="F106" s="31" t="s">
        <v>13</v>
      </c>
    </row>
    <row r="107" ht="22.5" customHeight="1">
      <c r="A107" s="31" t="s">
        <v>284</v>
      </c>
      <c r="B107" s="32">
        <v>1.250000535E9</v>
      </c>
      <c r="C107" s="31" t="s">
        <v>285</v>
      </c>
      <c r="D107" s="34">
        <v>45318.0</v>
      </c>
      <c r="E107" s="31" t="s">
        <v>286</v>
      </c>
      <c r="F107" s="31" t="s">
        <v>13</v>
      </c>
    </row>
    <row r="108" ht="22.5" customHeight="1">
      <c r="A108" s="31" t="s">
        <v>287</v>
      </c>
      <c r="B108" s="32">
        <v>1.250003004E9</v>
      </c>
      <c r="C108" s="31" t="s">
        <v>288</v>
      </c>
      <c r="D108" s="34">
        <v>45320.0</v>
      </c>
      <c r="E108" s="31" t="s">
        <v>289</v>
      </c>
      <c r="F108" s="31" t="s">
        <v>13</v>
      </c>
    </row>
    <row r="109" ht="22.5" customHeight="1">
      <c r="A109" s="31" t="s">
        <v>290</v>
      </c>
      <c r="B109" s="32">
        <v>1.200008365E9</v>
      </c>
      <c r="C109" s="31" t="s">
        <v>291</v>
      </c>
      <c r="D109" s="34">
        <v>45320.0</v>
      </c>
      <c r="E109" s="31" t="s">
        <v>292</v>
      </c>
      <c r="F109" s="31" t="s">
        <v>13</v>
      </c>
    </row>
    <row r="110" ht="22.5" customHeight="1">
      <c r="A110" s="31" t="s">
        <v>293</v>
      </c>
      <c r="B110" s="32">
        <v>1.250009301E9</v>
      </c>
      <c r="C110" s="31" t="s">
        <v>294</v>
      </c>
      <c r="D110" s="34">
        <v>45320.0</v>
      </c>
      <c r="E110" s="31" t="s">
        <v>296</v>
      </c>
      <c r="F110" s="31" t="s">
        <v>13</v>
      </c>
    </row>
    <row r="111" ht="22.5" customHeight="1">
      <c r="A111" s="31" t="s">
        <v>297</v>
      </c>
      <c r="B111" s="32">
        <v>1.250000104E9</v>
      </c>
      <c r="C111" s="31" t="s">
        <v>298</v>
      </c>
      <c r="D111" s="34">
        <v>45320.0</v>
      </c>
      <c r="E111" s="31" t="s">
        <v>299</v>
      </c>
      <c r="F111" s="31" t="s">
        <v>9</v>
      </c>
    </row>
    <row r="112" ht="22.5" customHeight="1">
      <c r="A112" s="31" t="s">
        <v>300</v>
      </c>
      <c r="B112" s="32">
        <v>1.200006187E9</v>
      </c>
      <c r="C112" s="31" t="s">
        <v>301</v>
      </c>
      <c r="D112" s="34">
        <v>45320.0</v>
      </c>
      <c r="E112" s="31" t="s">
        <v>302</v>
      </c>
      <c r="F112" s="31" t="s">
        <v>9</v>
      </c>
    </row>
    <row r="113" ht="22.5" customHeight="1">
      <c r="A113" s="31" t="s">
        <v>303</v>
      </c>
      <c r="B113" s="32">
        <v>1.250009502E9</v>
      </c>
      <c r="C113" s="31" t="s">
        <v>66</v>
      </c>
      <c r="D113" s="34">
        <v>45321.0</v>
      </c>
      <c r="E113" s="31" t="s">
        <v>304</v>
      </c>
      <c r="F113" s="31" t="s">
        <v>13</v>
      </c>
    </row>
    <row r="114" ht="22.5" customHeight="1">
      <c r="A114" s="31" t="s">
        <v>305</v>
      </c>
      <c r="B114" s="32">
        <v>1.200008778E9</v>
      </c>
      <c r="C114" s="31" t="s">
        <v>306</v>
      </c>
      <c r="D114" s="34">
        <v>45321.0</v>
      </c>
      <c r="E114" s="31" t="s">
        <v>307</v>
      </c>
      <c r="F114" s="31" t="s">
        <v>13</v>
      </c>
    </row>
    <row r="115" ht="22.5" customHeight="1">
      <c r="A115" s="31" t="s">
        <v>308</v>
      </c>
      <c r="B115" s="32">
        <v>1.250009502E9</v>
      </c>
      <c r="C115" s="31" t="s">
        <v>66</v>
      </c>
      <c r="D115" s="34">
        <v>45321.0</v>
      </c>
      <c r="E115" s="31" t="s">
        <v>309</v>
      </c>
      <c r="F115" s="31" t="s">
        <v>13</v>
      </c>
    </row>
    <row r="116" ht="22.5" customHeight="1">
      <c r="A116" s="31" t="s">
        <v>310</v>
      </c>
      <c r="B116" s="32">
        <v>1.250009502E9</v>
      </c>
      <c r="C116" s="31" t="s">
        <v>66</v>
      </c>
      <c r="D116" s="34">
        <v>45321.0</v>
      </c>
      <c r="E116" s="31" t="s">
        <v>311</v>
      </c>
      <c r="F116" s="31" t="s">
        <v>13</v>
      </c>
    </row>
    <row r="117" ht="22.5" customHeight="1">
      <c r="A117" s="31" t="s">
        <v>312</v>
      </c>
      <c r="B117" s="32">
        <v>1.250010029E9</v>
      </c>
      <c r="C117" s="31" t="s">
        <v>313</v>
      </c>
      <c r="D117" s="34">
        <v>45321.0</v>
      </c>
      <c r="E117" s="31" t="s">
        <v>314</v>
      </c>
      <c r="F117" s="31" t="s">
        <v>13</v>
      </c>
    </row>
    <row r="118" ht="22.5" customHeight="1">
      <c r="A118" s="31" t="s">
        <v>315</v>
      </c>
      <c r="B118" s="32">
        <v>1.25000339E9</v>
      </c>
      <c r="C118" s="31" t="s">
        <v>316</v>
      </c>
      <c r="D118" s="34">
        <v>45322.0</v>
      </c>
      <c r="E118" s="31" t="s">
        <v>317</v>
      </c>
      <c r="F118" s="31" t="s">
        <v>13</v>
      </c>
    </row>
    <row r="119" ht="22.5" customHeight="1">
      <c r="A119" s="31" t="s">
        <v>318</v>
      </c>
      <c r="B119" s="32">
        <v>1.250001764E9</v>
      </c>
      <c r="C119" s="31" t="s">
        <v>15</v>
      </c>
      <c r="D119" s="34">
        <v>45322.0</v>
      </c>
      <c r="E119" s="31" t="s">
        <v>319</v>
      </c>
      <c r="F119" s="31" t="s">
        <v>13</v>
      </c>
    </row>
    <row r="120" ht="22.5" customHeight="1">
      <c r="A120" s="31" t="s">
        <v>320</v>
      </c>
      <c r="B120" s="32">
        <v>1.250010303E9</v>
      </c>
      <c r="C120" s="31" t="s">
        <v>321</v>
      </c>
      <c r="D120" s="34">
        <v>45322.0</v>
      </c>
      <c r="E120" s="31" t="s">
        <v>322</v>
      </c>
      <c r="F120" s="31" t="s">
        <v>13</v>
      </c>
    </row>
    <row r="121" ht="22.5" customHeight="1">
      <c r="A121" s="31" t="s">
        <v>323</v>
      </c>
      <c r="B121" s="32">
        <v>1.25000178E9</v>
      </c>
      <c r="C121" s="31" t="s">
        <v>160</v>
      </c>
      <c r="D121" s="34">
        <v>45323.0</v>
      </c>
      <c r="E121" s="31" t="s">
        <v>324</v>
      </c>
      <c r="F121" s="31" t="s">
        <v>13</v>
      </c>
    </row>
    <row r="122" ht="22.5" customHeight="1">
      <c r="A122" s="31" t="s">
        <v>325</v>
      </c>
      <c r="B122" s="32">
        <v>1.2500031E9</v>
      </c>
      <c r="C122" s="31" t="s">
        <v>326</v>
      </c>
      <c r="D122" s="34">
        <v>45323.0</v>
      </c>
      <c r="E122" s="31" t="s">
        <v>327</v>
      </c>
      <c r="F122" s="31" t="s">
        <v>13</v>
      </c>
    </row>
    <row r="123" ht="22.5" customHeight="1">
      <c r="A123" s="31" t="s">
        <v>328</v>
      </c>
      <c r="B123" s="32">
        <v>1.25000178E9</v>
      </c>
      <c r="C123" s="31" t="s">
        <v>160</v>
      </c>
      <c r="D123" s="34">
        <v>45323.0</v>
      </c>
      <c r="E123" s="31" t="s">
        <v>329</v>
      </c>
      <c r="F123" s="31" t="s">
        <v>13</v>
      </c>
    </row>
    <row r="124" ht="22.5" customHeight="1">
      <c r="A124" s="31" t="s">
        <v>330</v>
      </c>
      <c r="B124" s="32">
        <v>1.250009892E9</v>
      </c>
      <c r="C124" s="31" t="s">
        <v>93</v>
      </c>
      <c r="D124" s="34">
        <v>45323.0</v>
      </c>
      <c r="E124" s="31" t="s">
        <v>331</v>
      </c>
      <c r="F124" s="31" t="s">
        <v>13</v>
      </c>
    </row>
    <row r="125" ht="22.5" customHeight="1">
      <c r="A125" s="31" t="s">
        <v>332</v>
      </c>
      <c r="B125" s="32">
        <v>1.250001755E9</v>
      </c>
      <c r="C125" s="31" t="s">
        <v>333</v>
      </c>
      <c r="D125" s="34">
        <v>45323.0</v>
      </c>
      <c r="E125" s="31" t="s">
        <v>334</v>
      </c>
      <c r="F125" s="31" t="s">
        <v>13</v>
      </c>
    </row>
    <row r="126" ht="22.5" customHeight="1">
      <c r="A126" s="31" t="s">
        <v>335</v>
      </c>
      <c r="B126" s="32">
        <v>1.250004611E9</v>
      </c>
      <c r="C126" s="31" t="s">
        <v>336</v>
      </c>
      <c r="D126" s="34">
        <v>45323.0</v>
      </c>
      <c r="E126" s="31" t="s">
        <v>302</v>
      </c>
      <c r="F126" s="31" t="s">
        <v>9</v>
      </c>
    </row>
    <row r="127" ht="22.5" customHeight="1">
      <c r="A127" s="31" t="s">
        <v>337</v>
      </c>
      <c r="B127" s="32">
        <v>1.250000094E9</v>
      </c>
      <c r="C127" s="31" t="s">
        <v>338</v>
      </c>
      <c r="D127" s="34">
        <v>45324.0</v>
      </c>
      <c r="E127" s="31" t="s">
        <v>339</v>
      </c>
      <c r="F127" s="31" t="s">
        <v>9</v>
      </c>
    </row>
    <row r="128" ht="22.5" customHeight="1">
      <c r="A128" s="31" t="s">
        <v>340</v>
      </c>
      <c r="B128" s="32">
        <v>1.250001764E9</v>
      </c>
      <c r="C128" s="31" t="s">
        <v>15</v>
      </c>
      <c r="D128" s="34">
        <v>45324.0</v>
      </c>
      <c r="E128" s="31" t="s">
        <v>253</v>
      </c>
      <c r="F128" s="31" t="s">
        <v>13</v>
      </c>
    </row>
    <row r="129" ht="22.5" customHeight="1">
      <c r="A129" s="31" t="s">
        <v>341</v>
      </c>
      <c r="B129" s="32">
        <v>1.25000326E9</v>
      </c>
      <c r="C129" s="31" t="s">
        <v>342</v>
      </c>
      <c r="D129" s="34">
        <v>45324.0</v>
      </c>
      <c r="E129" s="31" t="s">
        <v>343</v>
      </c>
      <c r="F129" s="31" t="s">
        <v>13</v>
      </c>
    </row>
    <row r="130" ht="22.5" customHeight="1">
      <c r="A130" s="31" t="s">
        <v>344</v>
      </c>
      <c r="B130" s="32">
        <v>1.250004201E9</v>
      </c>
      <c r="C130" s="31" t="s">
        <v>345</v>
      </c>
      <c r="D130" s="34">
        <v>45324.0</v>
      </c>
      <c r="E130" s="31" t="s">
        <v>346</v>
      </c>
      <c r="F130" s="31" t="s">
        <v>9</v>
      </c>
    </row>
    <row r="131" ht="22.5" customHeight="1">
      <c r="A131" s="31" t="s">
        <v>347</v>
      </c>
      <c r="B131" s="32">
        <v>1.250000174E9</v>
      </c>
      <c r="C131" s="31" t="s">
        <v>348</v>
      </c>
      <c r="D131" s="34">
        <v>45325.0</v>
      </c>
      <c r="E131" s="31" t="s">
        <v>349</v>
      </c>
      <c r="F131" s="31" t="s">
        <v>13</v>
      </c>
    </row>
    <row r="132" ht="22.5" customHeight="1">
      <c r="A132" s="31" t="s">
        <v>350</v>
      </c>
      <c r="B132" s="32">
        <v>1.250001764E9</v>
      </c>
      <c r="C132" s="31" t="s">
        <v>15</v>
      </c>
      <c r="D132" s="34">
        <v>45325.0</v>
      </c>
      <c r="E132" s="31" t="s">
        <v>351</v>
      </c>
      <c r="F132" s="31" t="s">
        <v>13</v>
      </c>
    </row>
    <row r="133" ht="22.5" customHeight="1">
      <c r="A133" s="31" t="s">
        <v>352</v>
      </c>
      <c r="B133" s="32">
        <v>1.200007752E9</v>
      </c>
      <c r="C133" s="31" t="s">
        <v>181</v>
      </c>
      <c r="D133" s="34">
        <v>45325.0</v>
      </c>
      <c r="E133" s="31" t="s">
        <v>353</v>
      </c>
      <c r="F133" s="31" t="s">
        <v>13</v>
      </c>
    </row>
    <row r="134" ht="22.5" customHeight="1">
      <c r="A134" s="31" t="s">
        <v>354</v>
      </c>
      <c r="B134" s="32">
        <v>1.250001741E9</v>
      </c>
      <c r="C134" s="31" t="s">
        <v>52</v>
      </c>
      <c r="D134" s="34">
        <v>45327.0</v>
      </c>
      <c r="E134" s="31" t="s">
        <v>355</v>
      </c>
      <c r="F134" s="31" t="s">
        <v>9</v>
      </c>
    </row>
    <row r="135" ht="22.5" customHeight="1">
      <c r="A135" s="31" t="s">
        <v>356</v>
      </c>
      <c r="B135" s="32">
        <v>1.250002059E9</v>
      </c>
      <c r="C135" s="31" t="s">
        <v>148</v>
      </c>
      <c r="D135" s="34">
        <v>45327.0</v>
      </c>
      <c r="E135" s="31" t="s">
        <v>357</v>
      </c>
      <c r="F135" s="31" t="s">
        <v>13</v>
      </c>
    </row>
    <row r="136" ht="22.5" customHeight="1">
      <c r="A136" s="31" t="s">
        <v>358</v>
      </c>
      <c r="B136" s="32">
        <v>1.250002839E9</v>
      </c>
      <c r="C136" s="31" t="s">
        <v>359</v>
      </c>
      <c r="D136" s="34">
        <v>45327.0</v>
      </c>
      <c r="E136" s="31" t="s">
        <v>360</v>
      </c>
      <c r="F136" s="31" t="s">
        <v>9</v>
      </c>
    </row>
    <row r="137" ht="22.5" customHeight="1">
      <c r="A137" s="31" t="s">
        <v>361</v>
      </c>
      <c r="B137" s="32">
        <v>1.250010137E9</v>
      </c>
      <c r="C137" s="31" t="s">
        <v>362</v>
      </c>
      <c r="D137" s="34">
        <v>45327.0</v>
      </c>
      <c r="E137" s="31" t="s">
        <v>363</v>
      </c>
      <c r="F137" s="31" t="s">
        <v>13</v>
      </c>
    </row>
    <row r="138" ht="22.5" customHeight="1">
      <c r="A138" s="31" t="s">
        <v>364</v>
      </c>
      <c r="B138" s="32">
        <v>1.250002839E9</v>
      </c>
      <c r="C138" s="31" t="s">
        <v>359</v>
      </c>
      <c r="D138" s="34">
        <v>45327.0</v>
      </c>
      <c r="E138" s="31" t="s">
        <v>365</v>
      </c>
      <c r="F138" s="31" t="s">
        <v>9</v>
      </c>
    </row>
    <row r="139" ht="22.5" customHeight="1">
      <c r="A139" s="31" t="s">
        <v>366</v>
      </c>
      <c r="B139" s="32">
        <v>1.200009067E9</v>
      </c>
      <c r="C139" s="31" t="s">
        <v>46</v>
      </c>
      <c r="D139" s="34">
        <v>45327.0</v>
      </c>
      <c r="E139" s="31" t="s">
        <v>367</v>
      </c>
      <c r="F139" s="31" t="s">
        <v>13</v>
      </c>
    </row>
    <row r="140" ht="22.5" customHeight="1">
      <c r="A140" s="31" t="s">
        <v>368</v>
      </c>
      <c r="B140" s="32">
        <v>1.250002839E9</v>
      </c>
      <c r="C140" s="31" t="s">
        <v>359</v>
      </c>
      <c r="D140" s="34">
        <v>45327.0</v>
      </c>
      <c r="E140" s="31" t="s">
        <v>369</v>
      </c>
      <c r="F140" s="31" t="s">
        <v>9</v>
      </c>
    </row>
    <row r="141" ht="22.5" customHeight="1">
      <c r="A141" s="31" t="s">
        <v>370</v>
      </c>
      <c r="B141" s="32">
        <v>1.250002839E9</v>
      </c>
      <c r="C141" s="31" t="s">
        <v>359</v>
      </c>
      <c r="D141" s="34">
        <v>45327.0</v>
      </c>
      <c r="E141" s="31" t="s">
        <v>371</v>
      </c>
      <c r="F141" s="31" t="s">
        <v>9</v>
      </c>
    </row>
    <row r="142" ht="22.5" customHeight="1">
      <c r="A142" s="31" t="s">
        <v>372</v>
      </c>
      <c r="B142" s="32">
        <v>1.250002839E9</v>
      </c>
      <c r="C142" s="31" t="s">
        <v>359</v>
      </c>
      <c r="D142" s="34">
        <v>45327.0</v>
      </c>
      <c r="E142" s="31" t="s">
        <v>373</v>
      </c>
      <c r="F142" s="31" t="s">
        <v>9</v>
      </c>
    </row>
    <row r="143" ht="22.5" customHeight="1">
      <c r="A143" s="31" t="s">
        <v>374</v>
      </c>
      <c r="B143" s="32">
        <v>1.250002839E9</v>
      </c>
      <c r="C143" s="31" t="s">
        <v>359</v>
      </c>
      <c r="D143" s="34">
        <v>45327.0</v>
      </c>
      <c r="E143" s="31" t="s">
        <v>375</v>
      </c>
      <c r="F143" s="31" t="s">
        <v>9</v>
      </c>
    </row>
    <row r="144" ht="22.5" customHeight="1">
      <c r="A144" s="31" t="s">
        <v>376</v>
      </c>
      <c r="B144" s="32">
        <v>1.250009305E9</v>
      </c>
      <c r="C144" s="31" t="s">
        <v>377</v>
      </c>
      <c r="D144" s="34">
        <v>45327.0</v>
      </c>
      <c r="E144" s="31" t="s">
        <v>378</v>
      </c>
      <c r="F144" s="31" t="s">
        <v>13</v>
      </c>
    </row>
    <row r="145" ht="22.5" customHeight="1">
      <c r="A145" s="31" t="s">
        <v>379</v>
      </c>
      <c r="B145" s="32">
        <v>1.250002839E9</v>
      </c>
      <c r="C145" s="31" t="s">
        <v>359</v>
      </c>
      <c r="D145" s="34">
        <v>45327.0</v>
      </c>
      <c r="E145" s="31" t="s">
        <v>380</v>
      </c>
      <c r="F145" s="31" t="s">
        <v>9</v>
      </c>
    </row>
    <row r="146" ht="22.5" customHeight="1">
      <c r="A146" s="31" t="s">
        <v>381</v>
      </c>
      <c r="B146" s="32">
        <v>1.250002839E9</v>
      </c>
      <c r="C146" s="31" t="s">
        <v>359</v>
      </c>
      <c r="D146" s="34">
        <v>45327.0</v>
      </c>
      <c r="E146" s="31" t="s">
        <v>382</v>
      </c>
      <c r="F146" s="31" t="s">
        <v>9</v>
      </c>
    </row>
    <row r="147" ht="22.5" customHeight="1">
      <c r="A147" s="31" t="s">
        <v>383</v>
      </c>
      <c r="B147" s="32">
        <v>1.250002839E9</v>
      </c>
      <c r="C147" s="31" t="s">
        <v>359</v>
      </c>
      <c r="D147" s="34">
        <v>45327.0</v>
      </c>
      <c r="E147" s="31" t="s">
        <v>384</v>
      </c>
      <c r="F147" s="31" t="s">
        <v>9</v>
      </c>
    </row>
    <row r="148" ht="22.5" customHeight="1">
      <c r="A148" s="31" t="s">
        <v>385</v>
      </c>
      <c r="B148" s="32">
        <v>1.250002839E9</v>
      </c>
      <c r="C148" s="31" t="s">
        <v>359</v>
      </c>
      <c r="D148" s="34">
        <v>45327.0</v>
      </c>
      <c r="E148" s="31" t="s">
        <v>386</v>
      </c>
      <c r="F148" s="31" t="s">
        <v>9</v>
      </c>
    </row>
    <row r="149" ht="22.5" customHeight="1">
      <c r="A149" s="31" t="s">
        <v>387</v>
      </c>
      <c r="B149" s="32">
        <v>1.250002839E9</v>
      </c>
      <c r="C149" s="31" t="s">
        <v>359</v>
      </c>
      <c r="D149" s="34">
        <v>45327.0</v>
      </c>
      <c r="E149" s="31" t="s">
        <v>388</v>
      </c>
      <c r="F149" s="31" t="s">
        <v>9</v>
      </c>
    </row>
    <row r="150" ht="22.5" customHeight="1">
      <c r="A150" s="31" t="s">
        <v>389</v>
      </c>
      <c r="B150" s="32">
        <v>1.250002839E9</v>
      </c>
      <c r="C150" s="31" t="s">
        <v>359</v>
      </c>
      <c r="D150" s="34">
        <v>45327.0</v>
      </c>
      <c r="E150" s="31" t="s">
        <v>390</v>
      </c>
      <c r="F150" s="31" t="s">
        <v>9</v>
      </c>
    </row>
    <row r="151" ht="22.5" customHeight="1">
      <c r="A151" s="31" t="s">
        <v>391</v>
      </c>
      <c r="B151" s="32">
        <v>1.250002839E9</v>
      </c>
      <c r="C151" s="31" t="s">
        <v>359</v>
      </c>
      <c r="D151" s="34">
        <v>45327.0</v>
      </c>
      <c r="E151" s="31" t="s">
        <v>392</v>
      </c>
      <c r="F151" s="31" t="s">
        <v>9</v>
      </c>
    </row>
    <row r="152" ht="22.5" customHeight="1">
      <c r="A152" s="31" t="s">
        <v>393</v>
      </c>
      <c r="B152" s="32">
        <v>1.250002839E9</v>
      </c>
      <c r="C152" s="31" t="s">
        <v>359</v>
      </c>
      <c r="D152" s="34">
        <v>45327.0</v>
      </c>
      <c r="E152" s="31" t="s">
        <v>394</v>
      </c>
      <c r="F152" s="31" t="s">
        <v>9</v>
      </c>
    </row>
    <row r="153" ht="22.5" customHeight="1">
      <c r="A153" s="31" t="s">
        <v>395</v>
      </c>
      <c r="B153" s="32">
        <v>1.250001513E9</v>
      </c>
      <c r="C153" s="31" t="s">
        <v>396</v>
      </c>
      <c r="D153" s="34">
        <v>45327.0</v>
      </c>
      <c r="E153" s="31" t="s">
        <v>397</v>
      </c>
      <c r="F153" s="31" t="s">
        <v>9</v>
      </c>
    </row>
    <row r="154" ht="22.5" customHeight="1">
      <c r="A154" s="31" t="s">
        <v>398</v>
      </c>
      <c r="B154" s="32">
        <v>1.250002839E9</v>
      </c>
      <c r="C154" s="31" t="s">
        <v>359</v>
      </c>
      <c r="D154" s="34">
        <v>45327.0</v>
      </c>
      <c r="E154" s="31" t="s">
        <v>399</v>
      </c>
      <c r="F154" s="31" t="s">
        <v>9</v>
      </c>
    </row>
    <row r="155" ht="22.5" customHeight="1">
      <c r="A155" s="31" t="s">
        <v>400</v>
      </c>
      <c r="B155" s="32">
        <v>1.250002839E9</v>
      </c>
      <c r="C155" s="31" t="s">
        <v>359</v>
      </c>
      <c r="D155" s="34">
        <v>45328.0</v>
      </c>
      <c r="E155" s="31" t="s">
        <v>401</v>
      </c>
      <c r="F155" s="31" t="s">
        <v>9</v>
      </c>
    </row>
    <row r="156" ht="22.5" customHeight="1">
      <c r="A156" s="31" t="s">
        <v>402</v>
      </c>
      <c r="B156" s="32">
        <v>1.250009984E9</v>
      </c>
      <c r="C156" s="31" t="s">
        <v>403</v>
      </c>
      <c r="D156" s="34">
        <v>45328.0</v>
      </c>
      <c r="E156" s="31" t="s">
        <v>404</v>
      </c>
      <c r="F156" s="31" t="s">
        <v>13</v>
      </c>
    </row>
    <row r="157" ht="22.5" customHeight="1">
      <c r="A157" s="31" t="s">
        <v>405</v>
      </c>
      <c r="B157" s="32">
        <v>1.25001033E9</v>
      </c>
      <c r="C157" s="31" t="s">
        <v>406</v>
      </c>
      <c r="D157" s="34">
        <v>45328.0</v>
      </c>
      <c r="E157" s="31" t="s">
        <v>407</v>
      </c>
      <c r="F157" s="31" t="s">
        <v>13</v>
      </c>
    </row>
    <row r="158" ht="22.5" customHeight="1">
      <c r="A158" s="31" t="s">
        <v>408</v>
      </c>
      <c r="B158" s="32">
        <v>1.250002839E9</v>
      </c>
      <c r="C158" s="31" t="s">
        <v>359</v>
      </c>
      <c r="D158" s="34">
        <v>45328.0</v>
      </c>
      <c r="E158" s="31" t="s">
        <v>409</v>
      </c>
      <c r="F158" s="31" t="s">
        <v>9</v>
      </c>
    </row>
    <row r="159" ht="22.5" customHeight="1">
      <c r="A159" s="31" t="s">
        <v>410</v>
      </c>
      <c r="B159" s="32">
        <v>1.250000191E9</v>
      </c>
      <c r="C159" s="31" t="s">
        <v>411</v>
      </c>
      <c r="D159" s="34">
        <v>45328.0</v>
      </c>
      <c r="E159" s="31" t="s">
        <v>412</v>
      </c>
      <c r="F159" s="31" t="s">
        <v>9</v>
      </c>
    </row>
    <row r="160" ht="22.5" customHeight="1">
      <c r="A160" s="31" t="s">
        <v>413</v>
      </c>
      <c r="B160" s="32">
        <v>1.250002839E9</v>
      </c>
      <c r="C160" s="31" t="s">
        <v>359</v>
      </c>
      <c r="D160" s="34">
        <v>45328.0</v>
      </c>
      <c r="E160" s="31" t="s">
        <v>414</v>
      </c>
      <c r="F160" s="31" t="s">
        <v>9</v>
      </c>
    </row>
    <row r="161" ht="22.5" customHeight="1">
      <c r="A161" s="31" t="s">
        <v>415</v>
      </c>
      <c r="B161" s="32">
        <v>1.250002839E9</v>
      </c>
      <c r="C161" s="31" t="s">
        <v>359</v>
      </c>
      <c r="D161" s="34">
        <v>45328.0</v>
      </c>
      <c r="E161" s="31" t="s">
        <v>416</v>
      </c>
      <c r="F161" s="31" t="s">
        <v>9</v>
      </c>
    </row>
    <row r="162" ht="22.5" customHeight="1">
      <c r="A162" s="31" t="s">
        <v>417</v>
      </c>
      <c r="B162" s="32">
        <v>1.250000505E9</v>
      </c>
      <c r="C162" s="31" t="s">
        <v>11</v>
      </c>
      <c r="D162" s="34">
        <v>45329.0</v>
      </c>
      <c r="E162" s="31" t="s">
        <v>418</v>
      </c>
      <c r="F162" s="31" t="s">
        <v>13</v>
      </c>
    </row>
    <row r="163" ht="22.5" customHeight="1">
      <c r="A163" s="31" t="s">
        <v>419</v>
      </c>
      <c r="B163" s="32">
        <v>1.200007409E9</v>
      </c>
      <c r="C163" s="31" t="s">
        <v>128</v>
      </c>
      <c r="D163" s="34">
        <v>45329.0</v>
      </c>
      <c r="E163" s="31" t="s">
        <v>420</v>
      </c>
      <c r="F163" s="31" t="s">
        <v>13</v>
      </c>
    </row>
    <row r="164" ht="22.5" customHeight="1">
      <c r="A164" s="31" t="s">
        <v>421</v>
      </c>
      <c r="B164" s="32">
        <v>1.250003924E9</v>
      </c>
      <c r="C164" s="31" t="s">
        <v>422</v>
      </c>
      <c r="D164" s="34">
        <v>45329.0</v>
      </c>
      <c r="E164" s="31" t="s">
        <v>423</v>
      </c>
      <c r="F164" s="31" t="s">
        <v>13</v>
      </c>
    </row>
    <row r="165" ht="22.5" customHeight="1">
      <c r="A165" s="31" t="s">
        <v>425</v>
      </c>
      <c r="B165" s="32">
        <v>1.250001764E9</v>
      </c>
      <c r="C165" s="31" t="s">
        <v>15</v>
      </c>
      <c r="D165" s="34">
        <v>45330.0</v>
      </c>
      <c r="E165" s="31" t="s">
        <v>35</v>
      </c>
      <c r="F165" s="31" t="s">
        <v>13</v>
      </c>
    </row>
    <row r="166" ht="22.5" customHeight="1">
      <c r="A166" s="31" t="s">
        <v>426</v>
      </c>
      <c r="B166" s="32">
        <v>1.250001764E9</v>
      </c>
      <c r="C166" s="31" t="s">
        <v>15</v>
      </c>
      <c r="D166" s="34">
        <v>45330.0</v>
      </c>
      <c r="E166" s="31" t="s">
        <v>427</v>
      </c>
      <c r="F166" s="31" t="s">
        <v>13</v>
      </c>
    </row>
    <row r="167" ht="22.5" customHeight="1">
      <c r="A167" s="31" t="s">
        <v>428</v>
      </c>
      <c r="B167" s="32">
        <v>1.250000438E9</v>
      </c>
      <c r="C167" s="31" t="s">
        <v>119</v>
      </c>
      <c r="D167" s="34">
        <v>45330.0</v>
      </c>
      <c r="E167" s="31" t="s">
        <v>429</v>
      </c>
      <c r="F167" s="31" t="s">
        <v>9</v>
      </c>
    </row>
    <row r="168" ht="22.5" customHeight="1">
      <c r="A168" s="31" t="s">
        <v>430</v>
      </c>
      <c r="B168" s="32">
        <v>1.250001319E9</v>
      </c>
      <c r="C168" s="31" t="s">
        <v>145</v>
      </c>
      <c r="D168" s="34">
        <v>45330.0</v>
      </c>
      <c r="E168" s="31" t="s">
        <v>431</v>
      </c>
      <c r="F168" s="31" t="s">
        <v>13</v>
      </c>
    </row>
    <row r="169" ht="22.5" customHeight="1">
      <c r="A169" s="31" t="s">
        <v>432</v>
      </c>
      <c r="B169" s="32">
        <v>1.250001192E9</v>
      </c>
      <c r="C169" s="31" t="s">
        <v>433</v>
      </c>
      <c r="D169" s="34">
        <v>45330.0</v>
      </c>
      <c r="E169" s="31" t="s">
        <v>434</v>
      </c>
      <c r="F169" s="31" t="s">
        <v>9</v>
      </c>
    </row>
    <row r="170" ht="22.5" customHeight="1">
      <c r="A170" s="31" t="s">
        <v>435</v>
      </c>
      <c r="B170" s="32">
        <v>1.250001434E9</v>
      </c>
      <c r="C170" s="31" t="s">
        <v>276</v>
      </c>
      <c r="D170" s="34">
        <v>45330.0</v>
      </c>
      <c r="E170" s="31" t="s">
        <v>436</v>
      </c>
      <c r="F170" s="31" t="s">
        <v>9</v>
      </c>
    </row>
    <row r="171" ht="22.5" customHeight="1">
      <c r="A171" s="31" t="s">
        <v>437</v>
      </c>
      <c r="B171" s="32">
        <v>1.250000103E9</v>
      </c>
      <c r="C171" s="31" t="s">
        <v>438</v>
      </c>
      <c r="D171" s="34">
        <v>45330.0</v>
      </c>
      <c r="E171" s="31" t="s">
        <v>439</v>
      </c>
      <c r="F171" s="31" t="s">
        <v>9</v>
      </c>
    </row>
    <row r="172" ht="22.5" customHeight="1">
      <c r="A172" s="31" t="s">
        <v>440</v>
      </c>
      <c r="B172" s="32">
        <v>1.250001513E9</v>
      </c>
      <c r="C172" s="31" t="s">
        <v>396</v>
      </c>
      <c r="D172" s="34">
        <v>45331.0</v>
      </c>
      <c r="E172" s="31" t="s">
        <v>441</v>
      </c>
      <c r="F172" s="31" t="s">
        <v>9</v>
      </c>
    </row>
    <row r="173" ht="22.5" customHeight="1">
      <c r="A173" s="31" t="s">
        <v>442</v>
      </c>
      <c r="B173" s="32">
        <v>1.25000248E9</v>
      </c>
      <c r="C173" s="31" t="s">
        <v>443</v>
      </c>
      <c r="D173" s="34">
        <v>45331.0</v>
      </c>
      <c r="E173" s="31" t="s">
        <v>444</v>
      </c>
      <c r="F173" s="31" t="s">
        <v>13</v>
      </c>
    </row>
    <row r="174" ht="22.5" customHeight="1">
      <c r="A174" s="31" t="s">
        <v>445</v>
      </c>
      <c r="B174" s="32">
        <v>1.250002839E9</v>
      </c>
      <c r="C174" s="31" t="s">
        <v>359</v>
      </c>
      <c r="D174" s="34">
        <v>45331.0</v>
      </c>
      <c r="E174" s="31" t="s">
        <v>446</v>
      </c>
      <c r="F174" s="31" t="s">
        <v>9</v>
      </c>
    </row>
    <row r="175" ht="22.5" customHeight="1">
      <c r="A175" s="31" t="s">
        <v>447</v>
      </c>
      <c r="B175" s="32">
        <v>1.250002839E9</v>
      </c>
      <c r="C175" s="31" t="s">
        <v>359</v>
      </c>
      <c r="D175" s="34">
        <v>45331.0</v>
      </c>
      <c r="E175" s="31" t="s">
        <v>448</v>
      </c>
      <c r="F175" s="31" t="s">
        <v>9</v>
      </c>
    </row>
    <row r="176" ht="22.5" customHeight="1">
      <c r="A176" s="31" t="s">
        <v>449</v>
      </c>
      <c r="B176" s="32">
        <v>1.250009892E9</v>
      </c>
      <c r="C176" s="31" t="s">
        <v>93</v>
      </c>
      <c r="D176" s="34">
        <v>45334.0</v>
      </c>
      <c r="E176" s="31" t="s">
        <v>450</v>
      </c>
      <c r="F176" s="31" t="s">
        <v>13</v>
      </c>
    </row>
    <row r="177" ht="22.5" customHeight="1">
      <c r="A177" s="31" t="s">
        <v>451</v>
      </c>
      <c r="B177" s="32">
        <v>1.250009745E9</v>
      </c>
      <c r="C177" s="31" t="s">
        <v>84</v>
      </c>
      <c r="D177" s="34">
        <v>45334.0</v>
      </c>
      <c r="E177" s="31" t="s">
        <v>452</v>
      </c>
      <c r="F177" s="31" t="s">
        <v>13</v>
      </c>
    </row>
    <row r="178" ht="22.5" customHeight="1">
      <c r="A178" s="31" t="s">
        <v>453</v>
      </c>
      <c r="B178" s="32">
        <v>1.200008893E9</v>
      </c>
      <c r="C178" s="31" t="s">
        <v>454</v>
      </c>
      <c r="D178" s="34">
        <v>45334.0</v>
      </c>
      <c r="E178" s="31" t="s">
        <v>455</v>
      </c>
      <c r="F178" s="31" t="s">
        <v>13</v>
      </c>
    </row>
    <row r="179" ht="22.5" customHeight="1">
      <c r="A179" s="31" t="s">
        <v>456</v>
      </c>
      <c r="B179" s="32">
        <v>1.250009892E9</v>
      </c>
      <c r="C179" s="31" t="s">
        <v>93</v>
      </c>
      <c r="D179" s="34">
        <v>45334.0</v>
      </c>
      <c r="E179" s="31" t="s">
        <v>457</v>
      </c>
      <c r="F179" s="31" t="s">
        <v>13</v>
      </c>
    </row>
    <row r="180" ht="22.5" customHeight="1">
      <c r="A180" s="31" t="s">
        <v>458</v>
      </c>
      <c r="B180" s="32">
        <v>1.250009892E9</v>
      </c>
      <c r="C180" s="31" t="s">
        <v>93</v>
      </c>
      <c r="D180" s="34">
        <v>45334.0</v>
      </c>
      <c r="E180" s="31" t="s">
        <v>459</v>
      </c>
      <c r="F180" s="31" t="s">
        <v>13</v>
      </c>
    </row>
    <row r="181" ht="22.5" customHeight="1">
      <c r="A181" s="31" t="s">
        <v>460</v>
      </c>
      <c r="B181" s="32">
        <v>1.200008893E9</v>
      </c>
      <c r="C181" s="31" t="s">
        <v>454</v>
      </c>
      <c r="D181" s="34">
        <v>45334.0</v>
      </c>
      <c r="E181" s="31" t="s">
        <v>461</v>
      </c>
      <c r="F181" s="31" t="s">
        <v>13</v>
      </c>
    </row>
    <row r="182" ht="22.5" customHeight="1">
      <c r="A182" s="31" t="s">
        <v>462</v>
      </c>
      <c r="B182" s="32">
        <v>1.200007456E9</v>
      </c>
      <c r="C182" s="31" t="s">
        <v>463</v>
      </c>
      <c r="D182" s="34">
        <v>45334.0</v>
      </c>
      <c r="E182" s="31" t="s">
        <v>464</v>
      </c>
      <c r="F182" s="31" t="s">
        <v>9</v>
      </c>
    </row>
    <row r="183" ht="22.5" customHeight="1">
      <c r="A183" s="31" t="s">
        <v>465</v>
      </c>
      <c r="B183" s="32">
        <v>1.2000083E9</v>
      </c>
      <c r="C183" s="31" t="s">
        <v>466</v>
      </c>
      <c r="D183" s="34">
        <v>45335.0</v>
      </c>
      <c r="E183" s="31" t="s">
        <v>467</v>
      </c>
      <c r="F183" s="31" t="s">
        <v>13</v>
      </c>
    </row>
    <row r="184" ht="22.5" customHeight="1">
      <c r="A184" s="31" t="s">
        <v>468</v>
      </c>
      <c r="B184" s="32">
        <v>1.2000083E9</v>
      </c>
      <c r="C184" s="31" t="s">
        <v>466</v>
      </c>
      <c r="D184" s="34">
        <v>45335.0</v>
      </c>
      <c r="E184" s="31" t="s">
        <v>469</v>
      </c>
      <c r="F184" s="31" t="s">
        <v>13</v>
      </c>
    </row>
    <row r="185" ht="22.5" customHeight="1">
      <c r="A185" s="31" t="s">
        <v>470</v>
      </c>
      <c r="B185" s="32">
        <v>1.250000077E9</v>
      </c>
      <c r="C185" s="31" t="s">
        <v>471</v>
      </c>
      <c r="D185" s="34">
        <v>45335.0</v>
      </c>
      <c r="E185" s="31" t="s">
        <v>472</v>
      </c>
      <c r="F185" s="31" t="s">
        <v>9</v>
      </c>
    </row>
    <row r="186" ht="22.5" customHeight="1">
      <c r="A186" s="31" t="s">
        <v>473</v>
      </c>
      <c r="B186" s="32">
        <v>1.250000288E9</v>
      </c>
      <c r="C186" s="31" t="s">
        <v>474</v>
      </c>
      <c r="D186" s="34">
        <v>45335.0</v>
      </c>
      <c r="E186" s="31" t="s">
        <v>475</v>
      </c>
      <c r="F186" s="31" t="s">
        <v>13</v>
      </c>
    </row>
    <row r="187" ht="22.5" customHeight="1">
      <c r="A187" s="31" t="s">
        <v>476</v>
      </c>
      <c r="B187" s="32">
        <v>1.250000288E9</v>
      </c>
      <c r="C187" s="31" t="s">
        <v>474</v>
      </c>
      <c r="D187" s="34">
        <v>45335.0</v>
      </c>
      <c r="E187" s="31" t="s">
        <v>477</v>
      </c>
      <c r="F187" s="31" t="s">
        <v>13</v>
      </c>
    </row>
    <row r="188" ht="22.5" customHeight="1">
      <c r="A188" s="31" t="s">
        <v>478</v>
      </c>
      <c r="B188" s="32">
        <v>1.250001499E9</v>
      </c>
      <c r="C188" s="31" t="s">
        <v>479</v>
      </c>
      <c r="D188" s="34">
        <v>45335.0</v>
      </c>
      <c r="E188" s="31" t="s">
        <v>480</v>
      </c>
      <c r="F188" s="31" t="s">
        <v>13</v>
      </c>
    </row>
    <row r="189" ht="22.5" customHeight="1">
      <c r="A189" s="31" t="s">
        <v>481</v>
      </c>
      <c r="B189" s="32">
        <v>1.250010373E9</v>
      </c>
      <c r="C189" s="31" t="s">
        <v>482</v>
      </c>
      <c r="D189" s="34">
        <v>45335.0</v>
      </c>
      <c r="E189" s="31" t="s">
        <v>483</v>
      </c>
      <c r="F189" s="31" t="s">
        <v>9</v>
      </c>
    </row>
    <row r="190" ht="22.5" customHeight="1">
      <c r="A190" s="31" t="s">
        <v>484</v>
      </c>
      <c r="B190" s="32">
        <v>1.250000742E9</v>
      </c>
      <c r="C190" s="31" t="s">
        <v>485</v>
      </c>
      <c r="D190" s="34">
        <v>45335.0</v>
      </c>
      <c r="E190" s="31" t="s">
        <v>486</v>
      </c>
      <c r="F190" s="31" t="s">
        <v>13</v>
      </c>
    </row>
    <row r="191" ht="22.5" customHeight="1">
      <c r="A191" s="31" t="s">
        <v>487</v>
      </c>
      <c r="B191" s="32">
        <v>1.25000167E9</v>
      </c>
      <c r="C191" s="31" t="s">
        <v>488</v>
      </c>
      <c r="D191" s="34">
        <v>45335.0</v>
      </c>
      <c r="E191" s="31" t="s">
        <v>489</v>
      </c>
      <c r="F191" s="31" t="s">
        <v>13</v>
      </c>
    </row>
    <row r="192" ht="22.5" customHeight="1">
      <c r="A192" s="31" t="s">
        <v>490</v>
      </c>
      <c r="B192" s="32">
        <v>1.2000083E9</v>
      </c>
      <c r="C192" s="31" t="s">
        <v>466</v>
      </c>
      <c r="D192" s="34">
        <v>45336.0</v>
      </c>
      <c r="E192" s="31" t="s">
        <v>491</v>
      </c>
      <c r="F192" s="31" t="s">
        <v>13</v>
      </c>
    </row>
    <row r="193" ht="22.5" customHeight="1">
      <c r="A193" s="31" t="s">
        <v>492</v>
      </c>
      <c r="B193" s="32">
        <v>1.250001764E9</v>
      </c>
      <c r="C193" s="31" t="s">
        <v>15</v>
      </c>
      <c r="D193" s="34">
        <v>45336.0</v>
      </c>
      <c r="E193" s="31" t="s">
        <v>493</v>
      </c>
      <c r="F193" s="31" t="s">
        <v>13</v>
      </c>
    </row>
    <row r="194" ht="22.5" customHeight="1">
      <c r="A194" s="31" t="s">
        <v>494</v>
      </c>
      <c r="B194" s="32">
        <v>1.250004426E9</v>
      </c>
      <c r="C194" s="31" t="s">
        <v>495</v>
      </c>
      <c r="D194" s="34">
        <v>45336.0</v>
      </c>
      <c r="E194" s="31" t="s">
        <v>496</v>
      </c>
      <c r="F194" s="31" t="s">
        <v>13</v>
      </c>
    </row>
    <row r="195" ht="22.5" customHeight="1">
      <c r="A195" s="31" t="s">
        <v>497</v>
      </c>
      <c r="B195" s="32">
        <v>1.250000452E9</v>
      </c>
      <c r="C195" s="31" t="s">
        <v>498</v>
      </c>
      <c r="D195" s="34">
        <v>45336.0</v>
      </c>
      <c r="E195" s="31" t="s">
        <v>499</v>
      </c>
      <c r="F195" s="31" t="s">
        <v>9</v>
      </c>
    </row>
    <row r="196" ht="22.5" customHeight="1">
      <c r="A196" s="31" t="s">
        <v>500</v>
      </c>
      <c r="B196" s="32">
        <v>1.250002755E9</v>
      </c>
      <c r="C196" s="31" t="s">
        <v>501</v>
      </c>
      <c r="D196" s="34">
        <v>45336.0</v>
      </c>
      <c r="E196" s="31" t="s">
        <v>502</v>
      </c>
      <c r="F196" s="31" t="s">
        <v>9</v>
      </c>
    </row>
    <row r="197" ht="22.5" customHeight="1">
      <c r="A197" s="31" t="s">
        <v>503</v>
      </c>
      <c r="B197" s="32">
        <v>1.250004426E9</v>
      </c>
      <c r="C197" s="31" t="s">
        <v>495</v>
      </c>
      <c r="D197" s="34">
        <v>45336.0</v>
      </c>
      <c r="E197" s="31" t="s">
        <v>504</v>
      </c>
      <c r="F197" s="31" t="s">
        <v>13</v>
      </c>
    </row>
    <row r="198" ht="22.5" customHeight="1">
      <c r="A198" s="31" t="s">
        <v>505</v>
      </c>
      <c r="B198" s="32">
        <v>1.250009928E9</v>
      </c>
      <c r="C198" s="31" t="s">
        <v>506</v>
      </c>
      <c r="D198" s="34">
        <v>45336.0</v>
      </c>
      <c r="E198" s="31" t="s">
        <v>507</v>
      </c>
      <c r="F198" s="31" t="s">
        <v>13</v>
      </c>
    </row>
    <row r="199" ht="22.5" customHeight="1">
      <c r="A199" s="31" t="s">
        <v>508</v>
      </c>
      <c r="B199" s="32">
        <v>1.250000913E9</v>
      </c>
      <c r="C199" s="31" t="s">
        <v>60</v>
      </c>
      <c r="D199" s="34">
        <v>45337.0</v>
      </c>
      <c r="E199" s="31" t="s">
        <v>509</v>
      </c>
      <c r="F199" s="31" t="s">
        <v>13</v>
      </c>
    </row>
    <row r="200" ht="22.5" customHeight="1">
      <c r="A200" s="31" t="s">
        <v>510</v>
      </c>
      <c r="B200" s="32">
        <v>1.250009745E9</v>
      </c>
      <c r="C200" s="31" t="s">
        <v>84</v>
      </c>
      <c r="D200" s="34">
        <v>45337.0</v>
      </c>
      <c r="E200" s="31" t="s">
        <v>493</v>
      </c>
      <c r="F200" s="31" t="s">
        <v>13</v>
      </c>
    </row>
    <row r="201" ht="22.5" customHeight="1">
      <c r="A201" s="31" t="s">
        <v>511</v>
      </c>
      <c r="B201" s="32">
        <v>1.250001273E9</v>
      </c>
      <c r="C201" s="31" t="s">
        <v>512</v>
      </c>
      <c r="D201" s="34">
        <v>45337.0</v>
      </c>
      <c r="E201" s="31" t="s">
        <v>514</v>
      </c>
      <c r="F201" s="31" t="s">
        <v>13</v>
      </c>
    </row>
    <row r="202">
      <c r="A202" s="41"/>
      <c r="B202" s="14"/>
      <c r="C202" s="41"/>
      <c r="D202" s="43"/>
      <c r="E202" s="41"/>
      <c r="F202" s="41"/>
    </row>
    <row r="203">
      <c r="A203" s="41"/>
      <c r="B203" s="14"/>
      <c r="C203" s="41"/>
      <c r="D203" s="43"/>
      <c r="E203" s="41"/>
      <c r="F203" s="41"/>
    </row>
    <row r="204">
      <c r="A204" s="41"/>
      <c r="B204" s="14"/>
      <c r="C204" s="41"/>
      <c r="D204" s="43"/>
      <c r="E204" s="41"/>
      <c r="F204" s="41"/>
    </row>
    <row r="205">
      <c r="A205" s="41"/>
      <c r="B205" s="14"/>
      <c r="C205" s="41"/>
      <c r="D205" s="43"/>
      <c r="E205" s="41"/>
      <c r="F205" s="41"/>
    </row>
    <row r="206">
      <c r="A206" s="41"/>
      <c r="B206" s="14"/>
      <c r="C206" s="41"/>
      <c r="D206" s="43"/>
      <c r="E206" s="41"/>
      <c r="F206" s="41"/>
    </row>
    <row r="207">
      <c r="A207" s="41"/>
      <c r="B207" s="14"/>
      <c r="C207" s="41"/>
      <c r="D207" s="43"/>
      <c r="E207" s="41"/>
      <c r="F207" s="41"/>
    </row>
    <row r="208">
      <c r="A208" s="41"/>
      <c r="B208" s="14"/>
      <c r="C208" s="41"/>
      <c r="D208" s="43"/>
      <c r="E208" s="41"/>
      <c r="F208" s="41"/>
    </row>
    <row r="209">
      <c r="A209" s="41"/>
      <c r="B209" s="14"/>
      <c r="C209" s="41"/>
      <c r="D209" s="43"/>
      <c r="E209" s="41"/>
      <c r="F209" s="41"/>
    </row>
    <row r="210">
      <c r="A210" s="41"/>
      <c r="B210" s="14"/>
      <c r="C210" s="41"/>
      <c r="D210" s="43"/>
      <c r="E210" s="41"/>
      <c r="F210" s="41"/>
    </row>
    <row r="211">
      <c r="A211" s="41"/>
      <c r="B211" s="14"/>
      <c r="C211" s="41"/>
      <c r="D211" s="43"/>
      <c r="E211" s="41"/>
      <c r="F211" s="41"/>
    </row>
    <row r="212">
      <c r="A212" s="41"/>
      <c r="B212" s="14"/>
      <c r="C212" s="41"/>
      <c r="D212" s="43"/>
      <c r="E212" s="41"/>
      <c r="F212" s="41"/>
    </row>
    <row r="213">
      <c r="A213" s="41"/>
      <c r="B213" s="14"/>
      <c r="C213" s="41"/>
      <c r="D213" s="43"/>
      <c r="E213" s="41"/>
      <c r="F213" s="41"/>
    </row>
    <row r="214">
      <c r="A214" s="41"/>
      <c r="B214" s="14"/>
      <c r="C214" s="41"/>
      <c r="D214" s="43"/>
      <c r="E214" s="41"/>
      <c r="F214" s="41"/>
    </row>
    <row r="215">
      <c r="A215" s="41"/>
      <c r="B215" s="14"/>
      <c r="C215" s="41"/>
      <c r="D215" s="43"/>
      <c r="E215" s="41"/>
      <c r="F215" s="41"/>
    </row>
    <row r="216">
      <c r="A216" s="41"/>
      <c r="B216" s="14"/>
      <c r="C216" s="41"/>
      <c r="D216" s="43"/>
      <c r="E216" s="41"/>
      <c r="F216" s="41"/>
    </row>
    <row r="217">
      <c r="A217" s="41"/>
      <c r="B217" s="14"/>
      <c r="C217" s="41"/>
      <c r="D217" s="43"/>
      <c r="E217" s="41"/>
      <c r="F217" s="41"/>
    </row>
    <row r="218">
      <c r="A218" s="41"/>
      <c r="B218" s="14"/>
      <c r="C218" s="41"/>
      <c r="D218" s="43"/>
      <c r="E218" s="41"/>
      <c r="F218" s="41"/>
    </row>
    <row r="219">
      <c r="A219" s="41"/>
      <c r="B219" s="14"/>
      <c r="C219" s="41"/>
      <c r="D219" s="43"/>
      <c r="E219" s="41"/>
      <c r="F219" s="41"/>
    </row>
    <row r="220">
      <c r="A220" s="41"/>
      <c r="B220" s="14"/>
      <c r="C220" s="41"/>
      <c r="D220" s="43"/>
      <c r="E220" s="41"/>
      <c r="F220" s="41"/>
    </row>
    <row r="221">
      <c r="A221" s="41"/>
      <c r="B221" s="14"/>
      <c r="C221" s="41"/>
      <c r="D221" s="43"/>
      <c r="E221" s="41"/>
      <c r="F221" s="41"/>
    </row>
    <row r="222">
      <c r="A222" s="41"/>
      <c r="B222" s="14"/>
      <c r="C222" s="41"/>
      <c r="D222" s="43"/>
      <c r="E222" s="41"/>
      <c r="F222" s="41"/>
    </row>
    <row r="223">
      <c r="A223" s="41"/>
      <c r="B223" s="14"/>
      <c r="C223" s="41"/>
      <c r="D223" s="43"/>
      <c r="E223" s="41"/>
      <c r="F223" s="41"/>
    </row>
    <row r="224">
      <c r="A224" s="41"/>
      <c r="B224" s="14"/>
      <c r="C224" s="41"/>
      <c r="D224" s="43"/>
      <c r="E224" s="41"/>
      <c r="F224" s="41"/>
    </row>
    <row r="225">
      <c r="A225" s="41"/>
      <c r="B225" s="14"/>
      <c r="C225" s="41"/>
      <c r="D225" s="43"/>
      <c r="E225" s="41"/>
      <c r="F225" s="41"/>
    </row>
    <row r="226">
      <c r="A226" s="41"/>
      <c r="B226" s="14"/>
      <c r="C226" s="41"/>
      <c r="D226" s="43"/>
      <c r="E226" s="41"/>
      <c r="F226" s="41"/>
    </row>
    <row r="227">
      <c r="A227" s="41"/>
      <c r="B227" s="14"/>
      <c r="C227" s="41"/>
      <c r="D227" s="43"/>
      <c r="E227" s="41"/>
      <c r="F227" s="41"/>
    </row>
    <row r="228">
      <c r="A228" s="41"/>
      <c r="B228" s="14"/>
      <c r="C228" s="41"/>
      <c r="D228" s="43"/>
      <c r="E228" s="41"/>
      <c r="F228" s="41"/>
    </row>
    <row r="229">
      <c r="A229" s="41"/>
      <c r="B229" s="14"/>
      <c r="C229" s="41"/>
      <c r="D229" s="43"/>
      <c r="E229" s="41"/>
      <c r="F229" s="41"/>
    </row>
    <row r="230">
      <c r="A230" s="41"/>
      <c r="B230" s="14"/>
      <c r="C230" s="41"/>
      <c r="D230" s="43"/>
      <c r="E230" s="41"/>
      <c r="F230" s="41"/>
    </row>
    <row r="231">
      <c r="A231" s="41"/>
      <c r="B231" s="14"/>
      <c r="C231" s="41"/>
      <c r="D231" s="43"/>
      <c r="E231" s="41"/>
      <c r="F231" s="41"/>
    </row>
    <row r="232">
      <c r="A232" s="41"/>
      <c r="B232" s="14"/>
      <c r="C232" s="41"/>
      <c r="D232" s="43"/>
      <c r="E232" s="41"/>
      <c r="F232" s="41"/>
    </row>
    <row r="233">
      <c r="A233" s="41"/>
      <c r="B233" s="14"/>
      <c r="C233" s="41"/>
      <c r="D233" s="43"/>
      <c r="E233" s="41"/>
      <c r="F233" s="41"/>
    </row>
    <row r="234">
      <c r="A234" s="41"/>
      <c r="B234" s="14"/>
      <c r="C234" s="41"/>
      <c r="D234" s="43"/>
      <c r="E234" s="41"/>
      <c r="F234" s="41"/>
    </row>
    <row r="235">
      <c r="A235" s="41"/>
      <c r="B235" s="14"/>
      <c r="C235" s="41"/>
      <c r="D235" s="43"/>
      <c r="E235" s="41"/>
      <c r="F235" s="41"/>
    </row>
    <row r="236">
      <c r="A236" s="41"/>
      <c r="B236" s="14"/>
      <c r="C236" s="41"/>
      <c r="D236" s="43"/>
      <c r="E236" s="41"/>
      <c r="F236" s="41"/>
    </row>
    <row r="237">
      <c r="A237" s="41"/>
      <c r="B237" s="14"/>
      <c r="C237" s="41"/>
      <c r="D237" s="43"/>
      <c r="E237" s="41"/>
      <c r="F237" s="41"/>
    </row>
    <row r="238">
      <c r="A238" s="41"/>
      <c r="B238" s="14"/>
      <c r="C238" s="41"/>
      <c r="D238" s="43"/>
      <c r="E238" s="41"/>
      <c r="F238" s="41"/>
    </row>
    <row r="239">
      <c r="A239" s="41"/>
      <c r="B239" s="14"/>
      <c r="C239" s="41"/>
      <c r="D239" s="43"/>
      <c r="E239" s="41"/>
      <c r="F239" s="41"/>
    </row>
    <row r="240">
      <c r="A240" s="41"/>
      <c r="B240" s="14"/>
      <c r="C240" s="41"/>
      <c r="D240" s="43"/>
      <c r="E240" s="41"/>
      <c r="F240" s="41"/>
    </row>
    <row r="241">
      <c r="A241" s="41"/>
      <c r="B241" s="14"/>
      <c r="C241" s="41"/>
      <c r="D241" s="43"/>
      <c r="E241" s="41"/>
      <c r="F241" s="41"/>
    </row>
    <row r="242">
      <c r="A242" s="41"/>
      <c r="B242" s="14"/>
      <c r="C242" s="41"/>
      <c r="D242" s="43"/>
      <c r="E242" s="41"/>
      <c r="F242" s="41"/>
    </row>
    <row r="243">
      <c r="A243" s="41"/>
      <c r="B243" s="14"/>
      <c r="C243" s="41"/>
      <c r="D243" s="43"/>
      <c r="E243" s="41"/>
      <c r="F243" s="41"/>
    </row>
    <row r="244">
      <c r="A244" s="41"/>
      <c r="B244" s="14"/>
      <c r="C244" s="41"/>
      <c r="D244" s="43"/>
      <c r="E244" s="41"/>
      <c r="F244" s="41"/>
    </row>
    <row r="245">
      <c r="A245" s="41"/>
      <c r="B245" s="14"/>
      <c r="C245" s="41"/>
      <c r="D245" s="43"/>
      <c r="E245" s="41"/>
      <c r="F245" s="41"/>
    </row>
    <row r="246">
      <c r="A246" s="41"/>
      <c r="B246" s="14"/>
      <c r="C246" s="41"/>
      <c r="D246" s="43"/>
      <c r="E246" s="41"/>
      <c r="F246" s="41"/>
    </row>
    <row r="247">
      <c r="A247" s="41"/>
      <c r="B247" s="14"/>
      <c r="C247" s="41"/>
      <c r="D247" s="43"/>
      <c r="E247" s="41"/>
      <c r="F247" s="41"/>
    </row>
    <row r="248">
      <c r="A248" s="41"/>
      <c r="B248" s="14"/>
      <c r="C248" s="41"/>
      <c r="D248" s="43"/>
      <c r="E248" s="41"/>
      <c r="F248" s="41"/>
    </row>
    <row r="249">
      <c r="A249" s="41"/>
      <c r="B249" s="14"/>
      <c r="C249" s="41"/>
      <c r="D249" s="43"/>
      <c r="E249" s="41"/>
      <c r="F249" s="41"/>
    </row>
    <row r="250">
      <c r="A250" s="41"/>
      <c r="B250" s="14"/>
      <c r="C250" s="41"/>
      <c r="D250" s="43"/>
      <c r="E250" s="41"/>
      <c r="F250" s="41"/>
    </row>
    <row r="251">
      <c r="A251" s="41"/>
      <c r="B251" s="14"/>
      <c r="C251" s="41"/>
      <c r="D251" s="43"/>
      <c r="E251" s="41"/>
      <c r="F251" s="41"/>
    </row>
    <row r="252">
      <c r="A252" s="41"/>
      <c r="B252" s="14"/>
      <c r="C252" s="41"/>
      <c r="D252" s="43"/>
      <c r="E252" s="41"/>
      <c r="F252" s="41"/>
    </row>
    <row r="253">
      <c r="A253" s="41"/>
      <c r="B253" s="14"/>
      <c r="C253" s="41"/>
      <c r="D253" s="43"/>
      <c r="E253" s="41"/>
      <c r="F253" s="41"/>
    </row>
    <row r="254">
      <c r="A254" s="41"/>
      <c r="B254" s="14"/>
      <c r="C254" s="41"/>
      <c r="D254" s="43"/>
      <c r="E254" s="41"/>
      <c r="F254" s="41"/>
    </row>
    <row r="255">
      <c r="A255" s="41"/>
      <c r="B255" s="14"/>
      <c r="C255" s="41"/>
      <c r="D255" s="43"/>
      <c r="E255" s="41"/>
      <c r="F255" s="41"/>
    </row>
    <row r="256">
      <c r="A256" s="41"/>
      <c r="B256" s="14"/>
      <c r="C256" s="41"/>
      <c r="D256" s="43"/>
      <c r="E256" s="41"/>
      <c r="F256" s="41"/>
    </row>
    <row r="257">
      <c r="A257" s="41"/>
      <c r="B257" s="14"/>
      <c r="C257" s="41"/>
      <c r="D257" s="43"/>
      <c r="E257" s="41"/>
      <c r="F257" s="41"/>
    </row>
    <row r="258">
      <c r="A258" s="41"/>
      <c r="B258" s="14"/>
      <c r="C258" s="41"/>
      <c r="D258" s="43"/>
      <c r="E258" s="41"/>
      <c r="F258" s="41"/>
    </row>
    <row r="259">
      <c r="A259" s="41"/>
      <c r="B259" s="14"/>
      <c r="C259" s="41"/>
      <c r="D259" s="43"/>
      <c r="E259" s="41"/>
      <c r="F259" s="41"/>
    </row>
    <row r="260">
      <c r="A260" s="41"/>
      <c r="B260" s="14"/>
      <c r="C260" s="41"/>
      <c r="D260" s="43"/>
      <c r="E260" s="41"/>
      <c r="F260" s="41"/>
    </row>
    <row r="261">
      <c r="A261" s="41"/>
      <c r="B261" s="14"/>
      <c r="C261" s="41"/>
      <c r="D261" s="43"/>
      <c r="E261" s="41"/>
      <c r="F261" s="41"/>
    </row>
    <row r="262">
      <c r="A262" s="41"/>
      <c r="B262" s="14"/>
      <c r="C262" s="41"/>
      <c r="D262" s="43"/>
      <c r="E262" s="41"/>
      <c r="F262" s="41"/>
    </row>
    <row r="263">
      <c r="A263" s="41"/>
      <c r="B263" s="14"/>
      <c r="C263" s="41"/>
      <c r="D263" s="43"/>
      <c r="E263" s="41"/>
      <c r="F263" s="41"/>
    </row>
    <row r="264">
      <c r="A264" s="41"/>
      <c r="B264" s="14"/>
      <c r="C264" s="41"/>
      <c r="D264" s="43"/>
      <c r="E264" s="41"/>
      <c r="F264" s="41"/>
    </row>
    <row r="265">
      <c r="A265" s="41"/>
      <c r="B265" s="14"/>
      <c r="C265" s="41"/>
      <c r="D265" s="43"/>
      <c r="E265" s="41"/>
      <c r="F265" s="41"/>
    </row>
    <row r="266">
      <c r="A266" s="41"/>
      <c r="B266" s="14"/>
      <c r="C266" s="41"/>
      <c r="D266" s="43"/>
      <c r="E266" s="41"/>
      <c r="F266" s="41"/>
    </row>
    <row r="267">
      <c r="A267" s="41"/>
      <c r="B267" s="14"/>
      <c r="C267" s="41"/>
      <c r="D267" s="43"/>
      <c r="E267" s="41"/>
      <c r="F267" s="41"/>
    </row>
    <row r="268">
      <c r="A268" s="41"/>
      <c r="B268" s="14"/>
      <c r="C268" s="41"/>
      <c r="D268" s="43"/>
      <c r="E268" s="41"/>
      <c r="F268" s="41"/>
    </row>
    <row r="269">
      <c r="A269" s="41"/>
      <c r="B269" s="14"/>
      <c r="C269" s="41"/>
      <c r="D269" s="43"/>
      <c r="E269" s="41"/>
      <c r="F269" s="41"/>
    </row>
    <row r="270">
      <c r="A270" s="41"/>
      <c r="B270" s="14"/>
      <c r="C270" s="41"/>
      <c r="D270" s="43"/>
      <c r="E270" s="41"/>
      <c r="F270" s="41"/>
    </row>
    <row r="271">
      <c r="A271" s="41"/>
      <c r="B271" s="14"/>
      <c r="C271" s="41"/>
      <c r="D271" s="43"/>
      <c r="E271" s="41"/>
      <c r="F271" s="41"/>
    </row>
    <row r="272">
      <c r="A272" s="41"/>
      <c r="B272" s="14"/>
      <c r="C272" s="41"/>
      <c r="D272" s="43"/>
      <c r="E272" s="41"/>
      <c r="F272" s="41"/>
    </row>
    <row r="273">
      <c r="A273" s="41"/>
      <c r="B273" s="14"/>
      <c r="C273" s="41"/>
      <c r="D273" s="43"/>
      <c r="E273" s="41"/>
      <c r="F273" s="41"/>
    </row>
    <row r="274">
      <c r="A274" s="41"/>
      <c r="B274" s="14"/>
      <c r="C274" s="41"/>
      <c r="D274" s="43"/>
      <c r="E274" s="41"/>
      <c r="F274" s="41"/>
    </row>
    <row r="275">
      <c r="A275" s="41"/>
      <c r="B275" s="14"/>
      <c r="C275" s="41"/>
      <c r="D275" s="43"/>
      <c r="E275" s="41"/>
      <c r="F275" s="41"/>
    </row>
    <row r="276">
      <c r="A276" s="41"/>
      <c r="B276" s="14"/>
      <c r="C276" s="41"/>
      <c r="D276" s="43"/>
      <c r="E276" s="41"/>
      <c r="F276" s="41"/>
    </row>
    <row r="277">
      <c r="A277" s="41"/>
      <c r="B277" s="14"/>
      <c r="C277" s="41"/>
      <c r="D277" s="43"/>
      <c r="E277" s="41"/>
      <c r="F277" s="41"/>
    </row>
    <row r="278">
      <c r="A278" s="41"/>
      <c r="B278" s="14"/>
      <c r="C278" s="41"/>
      <c r="D278" s="43"/>
      <c r="E278" s="41"/>
      <c r="F278" s="41"/>
    </row>
    <row r="279">
      <c r="A279" s="41"/>
      <c r="B279" s="14"/>
      <c r="C279" s="41"/>
      <c r="D279" s="43"/>
      <c r="E279" s="41"/>
      <c r="F279" s="41"/>
    </row>
    <row r="280">
      <c r="A280" s="41"/>
      <c r="B280" s="14"/>
      <c r="C280" s="41"/>
      <c r="D280" s="43"/>
      <c r="E280" s="41"/>
      <c r="F280" s="41"/>
    </row>
    <row r="281">
      <c r="A281" s="41"/>
      <c r="B281" s="14"/>
      <c r="C281" s="41"/>
      <c r="D281" s="43"/>
      <c r="E281" s="41"/>
      <c r="F281" s="41"/>
    </row>
    <row r="282">
      <c r="A282" s="41"/>
      <c r="B282" s="14"/>
      <c r="C282" s="41"/>
      <c r="D282" s="43"/>
      <c r="E282" s="41"/>
      <c r="F282" s="41"/>
    </row>
    <row r="283">
      <c r="A283" s="41"/>
      <c r="B283" s="14"/>
      <c r="C283" s="41"/>
      <c r="D283" s="43"/>
      <c r="E283" s="41"/>
      <c r="F283" s="41"/>
    </row>
    <row r="284">
      <c r="A284" s="41"/>
      <c r="B284" s="14"/>
      <c r="C284" s="41"/>
      <c r="D284" s="43"/>
      <c r="E284" s="41"/>
      <c r="F284" s="41"/>
    </row>
    <row r="285">
      <c r="A285" s="41"/>
      <c r="B285" s="14"/>
      <c r="C285" s="41"/>
      <c r="D285" s="43"/>
      <c r="E285" s="41"/>
      <c r="F285" s="41"/>
    </row>
    <row r="286">
      <c r="A286" s="41"/>
      <c r="B286" s="14"/>
      <c r="C286" s="41"/>
      <c r="D286" s="43"/>
      <c r="E286" s="41"/>
      <c r="F286" s="41"/>
    </row>
    <row r="287">
      <c r="A287" s="41"/>
      <c r="B287" s="14"/>
      <c r="C287" s="41"/>
      <c r="D287" s="43"/>
      <c r="E287" s="41"/>
      <c r="F287" s="41"/>
    </row>
    <row r="288">
      <c r="A288" s="41"/>
      <c r="B288" s="14"/>
      <c r="C288" s="41"/>
      <c r="D288" s="43"/>
      <c r="E288" s="41"/>
      <c r="F288" s="41"/>
    </row>
    <row r="289">
      <c r="A289" s="41"/>
      <c r="B289" s="14"/>
      <c r="C289" s="41"/>
      <c r="D289" s="43"/>
      <c r="E289" s="41"/>
      <c r="F289" s="41"/>
    </row>
    <row r="290">
      <c r="A290" s="41"/>
      <c r="B290" s="14"/>
      <c r="C290" s="41"/>
      <c r="D290" s="43"/>
      <c r="E290" s="41"/>
      <c r="F290" s="41"/>
    </row>
    <row r="291">
      <c r="A291" s="41"/>
      <c r="B291" s="14"/>
      <c r="C291" s="41"/>
      <c r="D291" s="43"/>
      <c r="E291" s="41"/>
      <c r="F291" s="41"/>
    </row>
    <row r="292">
      <c r="A292" s="41"/>
      <c r="B292" s="14"/>
      <c r="C292" s="41"/>
      <c r="D292" s="43"/>
      <c r="E292" s="41"/>
      <c r="F292" s="41"/>
    </row>
    <row r="293">
      <c r="A293" s="41"/>
      <c r="B293" s="14"/>
      <c r="C293" s="41"/>
      <c r="D293" s="43"/>
      <c r="E293" s="41"/>
      <c r="F293" s="41"/>
    </row>
    <row r="294">
      <c r="A294" s="41"/>
      <c r="B294" s="14"/>
      <c r="C294" s="41"/>
      <c r="D294" s="43"/>
      <c r="E294" s="41"/>
      <c r="F294" s="41"/>
    </row>
    <row r="295">
      <c r="A295" s="41"/>
      <c r="B295" s="14"/>
      <c r="C295" s="41"/>
      <c r="D295" s="43"/>
      <c r="E295" s="41"/>
      <c r="F295" s="41"/>
    </row>
    <row r="296">
      <c r="A296" s="41"/>
      <c r="B296" s="14"/>
      <c r="C296" s="41"/>
      <c r="D296" s="43"/>
      <c r="E296" s="41"/>
      <c r="F296" s="41"/>
    </row>
    <row r="297">
      <c r="A297" s="41"/>
      <c r="B297" s="14"/>
      <c r="C297" s="41"/>
      <c r="D297" s="43"/>
      <c r="E297" s="41"/>
      <c r="F297" s="41"/>
    </row>
    <row r="298">
      <c r="A298" s="41"/>
      <c r="B298" s="14"/>
      <c r="C298" s="41"/>
      <c r="D298" s="43"/>
      <c r="E298" s="41"/>
      <c r="F298" s="41"/>
    </row>
    <row r="299">
      <c r="A299" s="41"/>
      <c r="B299" s="14"/>
      <c r="C299" s="41"/>
      <c r="D299" s="43"/>
      <c r="E299" s="41"/>
      <c r="F299" s="41"/>
    </row>
    <row r="300">
      <c r="A300" s="41"/>
      <c r="B300" s="14"/>
      <c r="C300" s="41"/>
      <c r="D300" s="43"/>
      <c r="E300" s="41"/>
      <c r="F300" s="41"/>
    </row>
    <row r="301">
      <c r="A301" s="41"/>
      <c r="B301" s="14"/>
      <c r="C301" s="41"/>
      <c r="D301" s="43"/>
      <c r="E301" s="41"/>
      <c r="F301" s="41"/>
    </row>
    <row r="302">
      <c r="A302" s="41"/>
      <c r="B302" s="14"/>
      <c r="C302" s="41"/>
      <c r="D302" s="43"/>
      <c r="E302" s="41"/>
      <c r="F302" s="41"/>
    </row>
    <row r="303">
      <c r="A303" s="41"/>
      <c r="B303" s="14"/>
      <c r="C303" s="41"/>
      <c r="D303" s="43"/>
      <c r="E303" s="41"/>
      <c r="F303" s="41"/>
    </row>
    <row r="304">
      <c r="A304" s="41"/>
      <c r="B304" s="14"/>
      <c r="C304" s="41"/>
      <c r="D304" s="43"/>
      <c r="E304" s="41"/>
      <c r="F304" s="41"/>
    </row>
    <row r="305">
      <c r="A305" s="41"/>
      <c r="B305" s="14"/>
      <c r="C305" s="41"/>
      <c r="D305" s="43"/>
      <c r="E305" s="41"/>
      <c r="F305" s="41"/>
    </row>
    <row r="306">
      <c r="A306" s="41"/>
      <c r="B306" s="14"/>
      <c r="C306" s="41"/>
      <c r="D306" s="43"/>
      <c r="E306" s="41"/>
      <c r="F306" s="41"/>
    </row>
    <row r="307">
      <c r="A307" s="41"/>
      <c r="B307" s="14"/>
      <c r="C307" s="41"/>
      <c r="D307" s="43"/>
      <c r="E307" s="41"/>
      <c r="F307" s="41"/>
    </row>
    <row r="308">
      <c r="A308" s="41"/>
      <c r="B308" s="14"/>
      <c r="C308" s="41"/>
      <c r="D308" s="43"/>
      <c r="E308" s="41"/>
      <c r="F308" s="41"/>
    </row>
    <row r="309">
      <c r="A309" s="41"/>
      <c r="B309" s="14"/>
      <c r="C309" s="41"/>
      <c r="D309" s="43"/>
      <c r="E309" s="41"/>
      <c r="F309" s="41"/>
    </row>
    <row r="310">
      <c r="A310" s="41"/>
      <c r="B310" s="14"/>
      <c r="C310" s="41"/>
      <c r="D310" s="43"/>
      <c r="E310" s="41"/>
      <c r="F310" s="41"/>
    </row>
    <row r="311">
      <c r="A311" s="41"/>
      <c r="B311" s="14"/>
      <c r="C311" s="41"/>
      <c r="D311" s="43"/>
      <c r="E311" s="41"/>
      <c r="F311" s="41"/>
    </row>
    <row r="312">
      <c r="A312" s="41"/>
      <c r="B312" s="14"/>
      <c r="C312" s="41"/>
      <c r="D312" s="43"/>
      <c r="E312" s="41"/>
      <c r="F312" s="41"/>
    </row>
    <row r="313">
      <c r="A313" s="41"/>
      <c r="B313" s="14"/>
      <c r="C313" s="41"/>
      <c r="D313" s="43"/>
      <c r="E313" s="41"/>
      <c r="F313" s="41"/>
    </row>
    <row r="314">
      <c r="A314" s="41"/>
      <c r="B314" s="14"/>
      <c r="C314" s="41"/>
      <c r="D314" s="43"/>
      <c r="E314" s="41"/>
      <c r="F314" s="41"/>
    </row>
    <row r="315">
      <c r="A315" s="41"/>
      <c r="B315" s="14"/>
      <c r="C315" s="41"/>
      <c r="D315" s="43"/>
      <c r="E315" s="41"/>
      <c r="F315" s="41"/>
    </row>
    <row r="316">
      <c r="A316" s="41"/>
      <c r="B316" s="14"/>
      <c r="C316" s="41"/>
      <c r="D316" s="43"/>
      <c r="E316" s="41"/>
      <c r="F316" s="41"/>
    </row>
    <row r="317">
      <c r="A317" s="41"/>
      <c r="B317" s="14"/>
      <c r="C317" s="41"/>
      <c r="D317" s="43"/>
      <c r="E317" s="41"/>
      <c r="F317" s="41"/>
    </row>
    <row r="318">
      <c r="A318" s="41"/>
      <c r="B318" s="14"/>
      <c r="C318" s="41"/>
      <c r="D318" s="43"/>
      <c r="E318" s="41"/>
      <c r="F318" s="41"/>
    </row>
    <row r="319">
      <c r="A319" s="41"/>
      <c r="B319" s="14"/>
      <c r="C319" s="41"/>
      <c r="D319" s="43"/>
      <c r="E319" s="41"/>
      <c r="F319" s="41"/>
    </row>
    <row r="320">
      <c r="A320" s="41"/>
      <c r="B320" s="14"/>
      <c r="C320" s="41"/>
      <c r="D320" s="43"/>
      <c r="E320" s="41"/>
      <c r="F320" s="41"/>
    </row>
    <row r="321">
      <c r="A321" s="41"/>
      <c r="B321" s="14"/>
      <c r="C321" s="41"/>
      <c r="D321" s="43"/>
      <c r="E321" s="41"/>
      <c r="F321" s="41"/>
    </row>
    <row r="322">
      <c r="A322" s="41"/>
      <c r="B322" s="14"/>
      <c r="C322" s="41"/>
      <c r="D322" s="43"/>
      <c r="E322" s="41"/>
      <c r="F322" s="41"/>
    </row>
    <row r="323">
      <c r="A323" s="41"/>
      <c r="B323" s="14"/>
      <c r="C323" s="41"/>
      <c r="D323" s="43"/>
      <c r="E323" s="41"/>
      <c r="F323" s="41"/>
    </row>
    <row r="324">
      <c r="A324" s="41"/>
      <c r="B324" s="14"/>
      <c r="C324" s="41"/>
      <c r="D324" s="43"/>
      <c r="E324" s="41"/>
      <c r="F324" s="41"/>
    </row>
    <row r="325">
      <c r="A325" s="41"/>
      <c r="B325" s="14"/>
      <c r="C325" s="41"/>
      <c r="D325" s="43"/>
      <c r="E325" s="41"/>
      <c r="F325" s="41"/>
    </row>
    <row r="326">
      <c r="A326" s="41"/>
      <c r="B326" s="14"/>
      <c r="C326" s="41"/>
      <c r="D326" s="43"/>
      <c r="E326" s="41"/>
      <c r="F326" s="41"/>
    </row>
    <row r="327">
      <c r="A327" s="41"/>
      <c r="B327" s="14"/>
      <c r="C327" s="41"/>
      <c r="D327" s="43"/>
      <c r="E327" s="41"/>
      <c r="F327" s="41"/>
    </row>
    <row r="328">
      <c r="A328" s="41"/>
      <c r="B328" s="14"/>
      <c r="C328" s="41"/>
      <c r="D328" s="43"/>
      <c r="E328" s="41"/>
      <c r="F328" s="41"/>
    </row>
    <row r="329">
      <c r="A329" s="41"/>
      <c r="B329" s="14"/>
      <c r="C329" s="41"/>
      <c r="D329" s="43"/>
      <c r="E329" s="41"/>
      <c r="F329" s="41"/>
    </row>
    <row r="330">
      <c r="A330" s="41"/>
      <c r="B330" s="14"/>
      <c r="C330" s="41"/>
      <c r="D330" s="43"/>
      <c r="E330" s="41"/>
      <c r="F330" s="41"/>
    </row>
    <row r="331">
      <c r="A331" s="41"/>
      <c r="B331" s="14"/>
      <c r="C331" s="41"/>
      <c r="D331" s="43"/>
      <c r="E331" s="41"/>
      <c r="F331" s="41"/>
    </row>
    <row r="332">
      <c r="A332" s="41"/>
      <c r="B332" s="14"/>
      <c r="C332" s="41"/>
      <c r="D332" s="43"/>
      <c r="E332" s="41"/>
      <c r="F332" s="41"/>
    </row>
    <row r="333">
      <c r="A333" s="41"/>
      <c r="B333" s="14"/>
      <c r="C333" s="41"/>
      <c r="D333" s="43"/>
      <c r="E333" s="41"/>
      <c r="F333" s="41"/>
    </row>
    <row r="334">
      <c r="A334" s="41"/>
      <c r="B334" s="14"/>
      <c r="C334" s="41"/>
      <c r="D334" s="43"/>
      <c r="E334" s="41"/>
      <c r="F334" s="41"/>
    </row>
    <row r="335">
      <c r="A335" s="41"/>
      <c r="B335" s="14"/>
      <c r="C335" s="41"/>
      <c r="D335" s="43"/>
      <c r="E335" s="41"/>
      <c r="F335" s="41"/>
    </row>
    <row r="336">
      <c r="A336" s="41"/>
      <c r="B336" s="14"/>
      <c r="C336" s="41"/>
      <c r="D336" s="43"/>
      <c r="E336" s="41"/>
      <c r="F336" s="41"/>
    </row>
    <row r="337">
      <c r="A337" s="41"/>
      <c r="B337" s="14"/>
      <c r="C337" s="41"/>
      <c r="D337" s="43"/>
      <c r="E337" s="41"/>
      <c r="F337" s="41"/>
    </row>
    <row r="338">
      <c r="A338" s="41"/>
      <c r="B338" s="14"/>
      <c r="C338" s="41"/>
      <c r="D338" s="43"/>
      <c r="E338" s="41"/>
      <c r="F338" s="41"/>
    </row>
    <row r="339">
      <c r="A339" s="41"/>
      <c r="B339" s="14"/>
      <c r="C339" s="41"/>
      <c r="D339" s="43"/>
      <c r="E339" s="41"/>
      <c r="F339" s="41"/>
    </row>
    <row r="340">
      <c r="A340" s="41"/>
      <c r="B340" s="14"/>
      <c r="C340" s="41"/>
      <c r="D340" s="43"/>
      <c r="E340" s="41"/>
      <c r="F340" s="41"/>
    </row>
    <row r="341">
      <c r="A341" s="41"/>
      <c r="B341" s="14"/>
      <c r="C341" s="41"/>
      <c r="D341" s="43"/>
      <c r="E341" s="41"/>
      <c r="F341" s="41"/>
    </row>
    <row r="342">
      <c r="A342" s="41"/>
      <c r="B342" s="14"/>
      <c r="C342" s="41"/>
      <c r="D342" s="43"/>
      <c r="E342" s="41"/>
      <c r="F342" s="41"/>
    </row>
    <row r="343">
      <c r="A343" s="41"/>
      <c r="B343" s="14"/>
      <c r="C343" s="41"/>
      <c r="D343" s="43"/>
      <c r="E343" s="41"/>
      <c r="F343" s="41"/>
    </row>
    <row r="344">
      <c r="A344" s="41"/>
      <c r="B344" s="14"/>
      <c r="C344" s="41"/>
      <c r="D344" s="43"/>
      <c r="E344" s="41"/>
      <c r="F344" s="41"/>
    </row>
    <row r="345">
      <c r="A345" s="41"/>
      <c r="B345" s="14"/>
      <c r="C345" s="41"/>
      <c r="D345" s="43"/>
      <c r="E345" s="41"/>
      <c r="F345" s="41"/>
    </row>
    <row r="346">
      <c r="A346" s="41"/>
      <c r="B346" s="14"/>
      <c r="C346" s="41"/>
      <c r="D346" s="43"/>
      <c r="E346" s="41"/>
      <c r="F346" s="41"/>
    </row>
    <row r="347">
      <c r="A347" s="41"/>
      <c r="B347" s="14"/>
      <c r="C347" s="41"/>
      <c r="D347" s="43"/>
      <c r="E347" s="41"/>
      <c r="F347" s="41"/>
    </row>
    <row r="348">
      <c r="A348" s="41"/>
      <c r="B348" s="14"/>
      <c r="C348" s="41"/>
      <c r="D348" s="43"/>
      <c r="E348" s="41"/>
      <c r="F348" s="41"/>
    </row>
    <row r="349">
      <c r="A349" s="41"/>
      <c r="B349" s="14"/>
      <c r="C349" s="41"/>
      <c r="D349" s="43"/>
      <c r="E349" s="41"/>
      <c r="F349" s="41"/>
    </row>
    <row r="350">
      <c r="A350" s="41"/>
      <c r="B350" s="14"/>
      <c r="C350" s="41"/>
      <c r="D350" s="43"/>
      <c r="E350" s="41"/>
      <c r="F350" s="41"/>
    </row>
    <row r="351">
      <c r="A351" s="41"/>
      <c r="B351" s="14"/>
      <c r="C351" s="41"/>
      <c r="D351" s="43"/>
      <c r="E351" s="41"/>
      <c r="F351" s="41"/>
    </row>
    <row r="352">
      <c r="A352" s="41"/>
      <c r="B352" s="14"/>
      <c r="C352" s="41"/>
      <c r="D352" s="43"/>
      <c r="E352" s="41"/>
      <c r="F352" s="41"/>
    </row>
    <row r="353">
      <c r="A353" s="41"/>
      <c r="B353" s="14"/>
      <c r="C353" s="41"/>
      <c r="D353" s="43"/>
      <c r="E353" s="41"/>
      <c r="F353" s="41"/>
    </row>
    <row r="354">
      <c r="A354" s="41"/>
      <c r="B354" s="14"/>
      <c r="C354" s="41"/>
      <c r="D354" s="43"/>
      <c r="E354" s="41"/>
      <c r="F354" s="41"/>
    </row>
    <row r="355">
      <c r="A355" s="41"/>
      <c r="B355" s="14"/>
      <c r="C355" s="41"/>
      <c r="D355" s="43"/>
      <c r="E355" s="41"/>
      <c r="F355" s="41"/>
    </row>
    <row r="356">
      <c r="A356" s="41"/>
      <c r="B356" s="14"/>
      <c r="C356" s="41"/>
      <c r="D356" s="43"/>
      <c r="E356" s="41"/>
      <c r="F356" s="41"/>
    </row>
    <row r="357">
      <c r="A357" s="41"/>
      <c r="B357" s="14"/>
      <c r="C357" s="41"/>
      <c r="D357" s="43"/>
      <c r="E357" s="41"/>
      <c r="F357" s="41"/>
    </row>
    <row r="358">
      <c r="A358" s="41"/>
      <c r="B358" s="14"/>
      <c r="C358" s="41"/>
      <c r="D358" s="43"/>
      <c r="E358" s="41"/>
      <c r="F358" s="41"/>
    </row>
    <row r="359">
      <c r="A359" s="41"/>
      <c r="B359" s="14"/>
      <c r="C359" s="41"/>
      <c r="D359" s="43"/>
      <c r="E359" s="41"/>
      <c r="F359" s="41"/>
    </row>
    <row r="360">
      <c r="A360" s="41"/>
      <c r="B360" s="14"/>
      <c r="C360" s="41"/>
      <c r="D360" s="43"/>
      <c r="E360" s="41"/>
      <c r="F360" s="41"/>
    </row>
    <row r="361">
      <c r="A361" s="41"/>
      <c r="B361" s="14"/>
      <c r="C361" s="41"/>
      <c r="D361" s="43"/>
      <c r="E361" s="41"/>
      <c r="F361" s="41"/>
    </row>
    <row r="362">
      <c r="A362" s="41"/>
      <c r="B362" s="14"/>
      <c r="C362" s="41"/>
      <c r="D362" s="43"/>
      <c r="E362" s="41"/>
      <c r="F362" s="41"/>
    </row>
    <row r="363">
      <c r="A363" s="41"/>
      <c r="B363" s="14"/>
      <c r="C363" s="41"/>
      <c r="D363" s="43"/>
      <c r="E363" s="41"/>
      <c r="F363" s="41"/>
    </row>
    <row r="364">
      <c r="A364" s="41"/>
      <c r="B364" s="14"/>
      <c r="C364" s="41"/>
      <c r="D364" s="43"/>
      <c r="E364" s="41"/>
      <c r="F364" s="41"/>
    </row>
    <row r="365">
      <c r="A365" s="41"/>
      <c r="B365" s="14"/>
      <c r="C365" s="41"/>
      <c r="D365" s="43"/>
      <c r="E365" s="41"/>
      <c r="F365" s="41"/>
    </row>
    <row r="366">
      <c r="A366" s="41"/>
      <c r="B366" s="14"/>
      <c r="C366" s="41"/>
      <c r="D366" s="43"/>
      <c r="E366" s="41"/>
      <c r="F366" s="41"/>
    </row>
    <row r="367">
      <c r="A367" s="41"/>
      <c r="B367" s="14"/>
      <c r="C367" s="41"/>
      <c r="D367" s="43"/>
      <c r="E367" s="41"/>
      <c r="F367" s="41"/>
    </row>
    <row r="368">
      <c r="A368" s="41"/>
      <c r="B368" s="14"/>
      <c r="C368" s="41"/>
      <c r="D368" s="43"/>
      <c r="E368" s="41"/>
      <c r="F368" s="41"/>
    </row>
    <row r="369">
      <c r="A369" s="41"/>
      <c r="B369" s="14"/>
      <c r="C369" s="41"/>
      <c r="D369" s="43"/>
      <c r="E369" s="41"/>
      <c r="F369" s="41"/>
    </row>
    <row r="370">
      <c r="A370" s="41"/>
      <c r="B370" s="14"/>
      <c r="C370" s="41"/>
      <c r="D370" s="43"/>
      <c r="E370" s="41"/>
      <c r="F370" s="41"/>
    </row>
    <row r="371">
      <c r="A371" s="41"/>
      <c r="B371" s="14"/>
      <c r="C371" s="41"/>
      <c r="D371" s="43"/>
      <c r="E371" s="41"/>
      <c r="F371" s="41"/>
    </row>
    <row r="372">
      <c r="A372" s="41"/>
      <c r="B372" s="14"/>
      <c r="C372" s="41"/>
      <c r="D372" s="43"/>
      <c r="E372" s="41"/>
      <c r="F372" s="41"/>
    </row>
    <row r="373">
      <c r="A373" s="41"/>
      <c r="B373" s="14"/>
      <c r="C373" s="41"/>
      <c r="D373" s="43"/>
      <c r="E373" s="41"/>
      <c r="F373" s="41"/>
    </row>
    <row r="374">
      <c r="A374" s="41"/>
      <c r="B374" s="14"/>
      <c r="C374" s="41"/>
      <c r="D374" s="43"/>
      <c r="E374" s="41"/>
      <c r="F374" s="41"/>
    </row>
    <row r="375">
      <c r="A375" s="41"/>
      <c r="B375" s="14"/>
      <c r="C375" s="41"/>
      <c r="D375" s="43"/>
      <c r="E375" s="41"/>
      <c r="F375" s="41"/>
    </row>
    <row r="376">
      <c r="A376" s="41"/>
      <c r="B376" s="14"/>
      <c r="C376" s="41"/>
      <c r="D376" s="43"/>
      <c r="E376" s="41"/>
      <c r="F376" s="41"/>
    </row>
    <row r="377">
      <c r="A377" s="41"/>
      <c r="B377" s="14"/>
      <c r="C377" s="41"/>
      <c r="D377" s="43"/>
      <c r="E377" s="41"/>
      <c r="F377" s="41"/>
    </row>
    <row r="378">
      <c r="A378" s="41"/>
      <c r="B378" s="14"/>
      <c r="C378" s="41"/>
      <c r="D378" s="43"/>
      <c r="E378" s="41"/>
      <c r="F378" s="41"/>
    </row>
    <row r="379">
      <c r="A379" s="41"/>
      <c r="B379" s="14"/>
      <c r="C379" s="41"/>
      <c r="D379" s="43"/>
      <c r="E379" s="41"/>
      <c r="F379" s="41"/>
    </row>
    <row r="380">
      <c r="A380" s="41"/>
      <c r="B380" s="14"/>
      <c r="C380" s="41"/>
      <c r="D380" s="43"/>
      <c r="E380" s="41"/>
      <c r="F380" s="41"/>
    </row>
    <row r="381">
      <c r="A381" s="41"/>
      <c r="B381" s="14"/>
      <c r="C381" s="41"/>
      <c r="D381" s="43"/>
      <c r="E381" s="41"/>
      <c r="F381" s="41"/>
    </row>
    <row r="382">
      <c r="A382" s="41"/>
      <c r="B382" s="14"/>
      <c r="C382" s="41"/>
      <c r="D382" s="43"/>
      <c r="E382" s="41"/>
      <c r="F382" s="41"/>
    </row>
    <row r="383">
      <c r="A383" s="41"/>
      <c r="B383" s="14"/>
      <c r="C383" s="41"/>
      <c r="D383" s="43"/>
      <c r="E383" s="41"/>
      <c r="F383" s="41"/>
    </row>
    <row r="384">
      <c r="A384" s="41"/>
      <c r="B384" s="14"/>
      <c r="C384" s="41"/>
      <c r="D384" s="43"/>
      <c r="E384" s="41"/>
      <c r="F384" s="41"/>
    </row>
    <row r="385">
      <c r="A385" s="41"/>
      <c r="B385" s="14"/>
      <c r="C385" s="41"/>
      <c r="D385" s="43"/>
      <c r="E385" s="41"/>
      <c r="F385" s="41"/>
    </row>
    <row r="386">
      <c r="A386" s="41"/>
      <c r="B386" s="14"/>
      <c r="C386" s="41"/>
      <c r="D386" s="43"/>
      <c r="E386" s="41"/>
      <c r="F386" s="41"/>
    </row>
    <row r="387">
      <c r="A387" s="41"/>
      <c r="B387" s="14"/>
      <c r="C387" s="41"/>
      <c r="D387" s="43"/>
      <c r="E387" s="41"/>
      <c r="F387" s="41"/>
    </row>
    <row r="388">
      <c r="A388" s="41"/>
      <c r="B388" s="14"/>
      <c r="C388" s="41"/>
      <c r="D388" s="43"/>
      <c r="E388" s="41"/>
      <c r="F388" s="41"/>
    </row>
    <row r="389">
      <c r="A389" s="41"/>
      <c r="B389" s="14"/>
      <c r="C389" s="41"/>
      <c r="D389" s="43"/>
      <c r="E389" s="41"/>
      <c r="F389" s="41"/>
    </row>
    <row r="390">
      <c r="A390" s="41"/>
      <c r="B390" s="14"/>
      <c r="C390" s="41"/>
      <c r="D390" s="43"/>
      <c r="E390" s="41"/>
      <c r="F390" s="41"/>
    </row>
    <row r="391">
      <c r="A391" s="41"/>
      <c r="B391" s="14"/>
      <c r="C391" s="41"/>
      <c r="D391" s="43"/>
      <c r="E391" s="41"/>
      <c r="F391" s="41"/>
    </row>
    <row r="392">
      <c r="A392" s="41"/>
      <c r="B392" s="14"/>
      <c r="C392" s="41"/>
      <c r="D392" s="43"/>
      <c r="E392" s="41"/>
      <c r="F392" s="41"/>
    </row>
    <row r="393">
      <c r="A393" s="41"/>
      <c r="B393" s="14"/>
      <c r="C393" s="41"/>
      <c r="D393" s="43"/>
      <c r="E393" s="41"/>
      <c r="F393" s="41"/>
    </row>
    <row r="394">
      <c r="A394" s="41"/>
      <c r="B394" s="14"/>
      <c r="C394" s="41"/>
      <c r="D394" s="43"/>
      <c r="E394" s="41"/>
      <c r="F394" s="41"/>
    </row>
    <row r="395">
      <c r="A395" s="41"/>
      <c r="B395" s="14"/>
      <c r="C395" s="41"/>
      <c r="D395" s="43"/>
      <c r="E395" s="41"/>
      <c r="F395" s="41"/>
    </row>
    <row r="396">
      <c r="A396" s="41"/>
      <c r="B396" s="14"/>
      <c r="C396" s="41"/>
      <c r="D396" s="43"/>
      <c r="E396" s="41"/>
      <c r="F396" s="41"/>
    </row>
    <row r="397">
      <c r="A397" s="41"/>
      <c r="B397" s="14"/>
      <c r="C397" s="41"/>
      <c r="D397" s="43"/>
      <c r="E397" s="41"/>
      <c r="F397" s="41"/>
    </row>
    <row r="398">
      <c r="A398" s="41"/>
      <c r="B398" s="14"/>
      <c r="C398" s="41"/>
      <c r="D398" s="43"/>
      <c r="E398" s="41"/>
      <c r="F398" s="41"/>
    </row>
    <row r="399">
      <c r="A399" s="41"/>
      <c r="B399" s="14"/>
      <c r="C399" s="41"/>
      <c r="D399" s="43"/>
      <c r="E399" s="41"/>
      <c r="F399" s="41"/>
    </row>
    <row r="400">
      <c r="A400" s="41"/>
      <c r="B400" s="14"/>
      <c r="C400" s="41"/>
      <c r="D400" s="43"/>
      <c r="E400" s="41"/>
      <c r="F400" s="41"/>
    </row>
    <row r="401">
      <c r="A401" s="41"/>
      <c r="B401" s="14"/>
      <c r="C401" s="41"/>
      <c r="D401" s="43"/>
      <c r="E401" s="41"/>
      <c r="F401" s="41"/>
    </row>
    <row r="402">
      <c r="A402" s="41"/>
      <c r="B402" s="14"/>
      <c r="C402" s="41"/>
      <c r="D402" s="43"/>
      <c r="E402" s="41"/>
      <c r="F402" s="41"/>
    </row>
    <row r="403">
      <c r="A403" s="41"/>
      <c r="B403" s="14"/>
      <c r="C403" s="41"/>
      <c r="D403" s="43"/>
      <c r="E403" s="41"/>
      <c r="F403" s="41"/>
    </row>
    <row r="404">
      <c r="A404" s="41"/>
      <c r="B404" s="14"/>
      <c r="C404" s="41"/>
      <c r="D404" s="43"/>
      <c r="E404" s="41"/>
      <c r="F404" s="41"/>
    </row>
    <row r="405">
      <c r="A405" s="41"/>
      <c r="B405" s="14"/>
      <c r="C405" s="41"/>
      <c r="D405" s="43"/>
      <c r="E405" s="41"/>
      <c r="F405" s="41"/>
    </row>
    <row r="406">
      <c r="A406" s="41"/>
      <c r="B406" s="14"/>
      <c r="C406" s="41"/>
      <c r="D406" s="43"/>
      <c r="E406" s="41"/>
      <c r="F406" s="41"/>
    </row>
    <row r="407">
      <c r="A407" s="41"/>
      <c r="B407" s="14"/>
      <c r="C407" s="41"/>
      <c r="D407" s="43"/>
      <c r="E407" s="41"/>
      <c r="F407" s="41"/>
    </row>
    <row r="408">
      <c r="A408" s="41"/>
      <c r="B408" s="14"/>
      <c r="C408" s="41"/>
      <c r="D408" s="43"/>
      <c r="E408" s="41"/>
      <c r="F408" s="41"/>
    </row>
    <row r="409">
      <c r="A409" s="41"/>
      <c r="B409" s="14"/>
      <c r="C409" s="41"/>
      <c r="D409" s="43"/>
      <c r="E409" s="41"/>
      <c r="F409" s="41"/>
    </row>
    <row r="410">
      <c r="A410" s="41"/>
      <c r="B410" s="14"/>
      <c r="C410" s="41"/>
      <c r="D410" s="43"/>
      <c r="E410" s="41"/>
      <c r="F410" s="41"/>
    </row>
    <row r="411">
      <c r="A411" s="41"/>
      <c r="B411" s="14"/>
      <c r="C411" s="41"/>
      <c r="D411" s="43"/>
      <c r="E411" s="41"/>
      <c r="F411" s="41"/>
    </row>
    <row r="412">
      <c r="A412" s="41"/>
      <c r="B412" s="14"/>
      <c r="C412" s="41"/>
      <c r="D412" s="43"/>
      <c r="E412" s="41"/>
      <c r="F412" s="41"/>
    </row>
    <row r="413">
      <c r="A413" s="41"/>
      <c r="B413" s="14"/>
      <c r="C413" s="41"/>
      <c r="D413" s="43"/>
      <c r="E413" s="41"/>
      <c r="F413" s="41"/>
    </row>
    <row r="414">
      <c r="A414" s="41"/>
      <c r="B414" s="14"/>
      <c r="C414" s="41"/>
      <c r="D414" s="43"/>
      <c r="E414" s="41"/>
      <c r="F414" s="41"/>
    </row>
    <row r="415">
      <c r="A415" s="41"/>
      <c r="B415" s="14"/>
      <c r="C415" s="41"/>
      <c r="D415" s="43"/>
      <c r="E415" s="41"/>
      <c r="F415" s="41"/>
    </row>
    <row r="416">
      <c r="A416" s="41"/>
      <c r="B416" s="14"/>
      <c r="C416" s="41"/>
      <c r="D416" s="43"/>
      <c r="E416" s="41"/>
      <c r="F416" s="41"/>
    </row>
    <row r="417">
      <c r="A417" s="41"/>
      <c r="B417" s="14"/>
      <c r="C417" s="41"/>
      <c r="D417" s="43"/>
      <c r="E417" s="41"/>
      <c r="F417" s="41"/>
    </row>
    <row r="418">
      <c r="A418" s="41"/>
      <c r="B418" s="14"/>
      <c r="C418" s="41"/>
      <c r="D418" s="43"/>
      <c r="E418" s="41"/>
      <c r="F418" s="41"/>
    </row>
    <row r="419">
      <c r="A419" s="41"/>
      <c r="B419" s="14"/>
      <c r="C419" s="41"/>
      <c r="D419" s="43"/>
      <c r="E419" s="41"/>
      <c r="F419" s="41"/>
    </row>
    <row r="420">
      <c r="A420" s="41"/>
      <c r="B420" s="14"/>
      <c r="C420" s="41"/>
      <c r="D420" s="43"/>
      <c r="E420" s="41"/>
      <c r="F420" s="41"/>
    </row>
    <row r="421">
      <c r="A421" s="41"/>
      <c r="B421" s="14"/>
      <c r="C421" s="41"/>
      <c r="D421" s="43"/>
      <c r="E421" s="41"/>
      <c r="F421" s="41"/>
    </row>
    <row r="422">
      <c r="A422" s="41"/>
      <c r="B422" s="14"/>
      <c r="C422" s="41"/>
      <c r="D422" s="43"/>
      <c r="E422" s="41"/>
      <c r="F422" s="41"/>
    </row>
    <row r="423">
      <c r="A423" s="41"/>
      <c r="B423" s="14"/>
      <c r="C423" s="41"/>
      <c r="D423" s="43"/>
      <c r="E423" s="41"/>
      <c r="F423" s="41"/>
    </row>
    <row r="424">
      <c r="A424" s="41"/>
      <c r="B424" s="14"/>
      <c r="C424" s="41"/>
      <c r="D424" s="43"/>
      <c r="E424" s="41"/>
      <c r="F424" s="41"/>
    </row>
    <row r="425">
      <c r="A425" s="41"/>
      <c r="B425" s="14"/>
      <c r="C425" s="41"/>
      <c r="D425" s="43"/>
      <c r="E425" s="41"/>
      <c r="F425" s="41"/>
    </row>
    <row r="426">
      <c r="A426" s="41"/>
      <c r="B426" s="14"/>
      <c r="C426" s="41"/>
      <c r="D426" s="43"/>
      <c r="E426" s="41"/>
      <c r="F426" s="41"/>
    </row>
    <row r="427">
      <c r="A427" s="41"/>
      <c r="B427" s="14"/>
      <c r="C427" s="41"/>
      <c r="D427" s="43"/>
      <c r="E427" s="41"/>
      <c r="F427" s="41"/>
    </row>
    <row r="428">
      <c r="A428" s="41"/>
      <c r="B428" s="14"/>
      <c r="C428" s="41"/>
      <c r="D428" s="43"/>
      <c r="E428" s="41"/>
      <c r="F428" s="41"/>
    </row>
    <row r="429">
      <c r="A429" s="41"/>
      <c r="B429" s="14"/>
      <c r="C429" s="41"/>
      <c r="D429" s="43"/>
      <c r="E429" s="41"/>
      <c r="F429" s="41"/>
    </row>
    <row r="430">
      <c r="A430" s="41"/>
      <c r="B430" s="14"/>
      <c r="C430" s="41"/>
      <c r="D430" s="43"/>
      <c r="E430" s="41"/>
      <c r="F430" s="41"/>
    </row>
    <row r="431">
      <c r="A431" s="41"/>
      <c r="B431" s="14"/>
      <c r="C431" s="41"/>
      <c r="D431" s="43"/>
      <c r="E431" s="41"/>
      <c r="F431" s="41"/>
    </row>
    <row r="432">
      <c r="A432" s="41"/>
      <c r="B432" s="14"/>
      <c r="C432" s="41"/>
      <c r="D432" s="43"/>
      <c r="E432" s="41"/>
      <c r="F432" s="41"/>
    </row>
    <row r="433">
      <c r="A433" s="41"/>
      <c r="B433" s="14"/>
      <c r="C433" s="41"/>
      <c r="D433" s="43"/>
      <c r="E433" s="41"/>
      <c r="F433" s="41"/>
    </row>
    <row r="434">
      <c r="A434" s="41"/>
      <c r="B434" s="14"/>
      <c r="C434" s="41"/>
      <c r="D434" s="43"/>
      <c r="E434" s="41"/>
      <c r="F434" s="41"/>
    </row>
    <row r="435">
      <c r="A435" s="41"/>
      <c r="B435" s="14"/>
      <c r="C435" s="41"/>
      <c r="D435" s="43"/>
      <c r="E435" s="41"/>
      <c r="F435" s="41"/>
    </row>
    <row r="436">
      <c r="A436" s="41"/>
      <c r="B436" s="14"/>
      <c r="C436" s="41"/>
      <c r="D436" s="43"/>
      <c r="E436" s="41"/>
      <c r="F436" s="41"/>
    </row>
    <row r="437">
      <c r="A437" s="41"/>
      <c r="B437" s="14"/>
      <c r="C437" s="41"/>
      <c r="D437" s="43"/>
      <c r="E437" s="41"/>
      <c r="F437" s="41"/>
    </row>
    <row r="438">
      <c r="A438" s="41"/>
      <c r="B438" s="14"/>
      <c r="C438" s="41"/>
      <c r="D438" s="43"/>
      <c r="E438" s="41"/>
      <c r="F438" s="41"/>
    </row>
    <row r="439">
      <c r="A439" s="41"/>
      <c r="B439" s="14"/>
      <c r="C439" s="41"/>
      <c r="D439" s="43"/>
      <c r="E439" s="41"/>
      <c r="F439" s="41"/>
    </row>
    <row r="440">
      <c r="A440" s="41"/>
      <c r="B440" s="14"/>
      <c r="C440" s="41"/>
      <c r="D440" s="43"/>
      <c r="E440" s="41"/>
      <c r="F440" s="41"/>
    </row>
    <row r="441">
      <c r="A441" s="41"/>
      <c r="B441" s="14"/>
      <c r="C441" s="41"/>
      <c r="D441" s="43"/>
      <c r="E441" s="41"/>
      <c r="F441" s="41"/>
    </row>
    <row r="442">
      <c r="A442" s="41"/>
      <c r="B442" s="14"/>
      <c r="C442" s="41"/>
      <c r="D442" s="43"/>
      <c r="E442" s="41"/>
      <c r="F442" s="41"/>
    </row>
    <row r="443">
      <c r="A443" s="41"/>
      <c r="B443" s="14"/>
      <c r="C443" s="41"/>
      <c r="D443" s="43"/>
      <c r="E443" s="41"/>
      <c r="F443" s="41"/>
    </row>
    <row r="444">
      <c r="A444" s="41"/>
      <c r="B444" s="14"/>
      <c r="C444" s="41"/>
      <c r="D444" s="43"/>
      <c r="E444" s="41"/>
      <c r="F444" s="41"/>
    </row>
    <row r="445">
      <c r="A445" s="41"/>
      <c r="B445" s="14"/>
      <c r="C445" s="41"/>
      <c r="D445" s="43"/>
      <c r="E445" s="41"/>
      <c r="F445" s="41"/>
    </row>
    <row r="446">
      <c r="A446" s="41"/>
      <c r="B446" s="14"/>
      <c r="C446" s="41"/>
      <c r="D446" s="43"/>
      <c r="E446" s="41"/>
      <c r="F446" s="41"/>
    </row>
    <row r="447">
      <c r="A447" s="41"/>
      <c r="B447" s="14"/>
      <c r="C447" s="41"/>
      <c r="D447" s="43"/>
      <c r="E447" s="41"/>
      <c r="F447" s="41"/>
    </row>
    <row r="448">
      <c r="A448" s="41"/>
      <c r="B448" s="14"/>
      <c r="C448" s="41"/>
      <c r="D448" s="43"/>
      <c r="E448" s="41"/>
      <c r="F448" s="41"/>
    </row>
    <row r="449">
      <c r="A449" s="41"/>
      <c r="B449" s="14"/>
      <c r="C449" s="41"/>
      <c r="D449" s="43"/>
      <c r="E449" s="41"/>
      <c r="F449" s="41"/>
    </row>
    <row r="450">
      <c r="A450" s="41"/>
      <c r="B450" s="14"/>
      <c r="C450" s="41"/>
      <c r="D450" s="43"/>
      <c r="E450" s="41"/>
      <c r="F450" s="41"/>
    </row>
    <row r="451">
      <c r="A451" s="41"/>
      <c r="B451" s="14"/>
      <c r="C451" s="41"/>
      <c r="D451" s="43"/>
      <c r="E451" s="41"/>
      <c r="F451" s="41"/>
    </row>
    <row r="452">
      <c r="A452" s="41"/>
      <c r="B452" s="14"/>
      <c r="C452" s="41"/>
      <c r="D452" s="43"/>
      <c r="E452" s="41"/>
      <c r="F452" s="41"/>
    </row>
    <row r="453">
      <c r="A453" s="41"/>
      <c r="B453" s="14"/>
      <c r="C453" s="41"/>
      <c r="D453" s="43"/>
      <c r="E453" s="41"/>
      <c r="F453" s="41"/>
    </row>
    <row r="454">
      <c r="A454" s="41"/>
      <c r="B454" s="14"/>
      <c r="C454" s="41"/>
      <c r="D454" s="43"/>
      <c r="E454" s="41"/>
      <c r="F454" s="41"/>
    </row>
    <row r="455">
      <c r="A455" s="41"/>
      <c r="B455" s="14"/>
      <c r="C455" s="41"/>
      <c r="D455" s="43"/>
      <c r="E455" s="41"/>
      <c r="F455" s="41"/>
    </row>
    <row r="456">
      <c r="A456" s="41"/>
      <c r="B456" s="14"/>
      <c r="C456" s="41"/>
      <c r="D456" s="43"/>
      <c r="E456" s="41"/>
      <c r="F456" s="41"/>
    </row>
    <row r="457">
      <c r="A457" s="41"/>
      <c r="B457" s="14"/>
      <c r="C457" s="41"/>
      <c r="D457" s="43"/>
      <c r="E457" s="41"/>
      <c r="F457" s="41"/>
    </row>
    <row r="458">
      <c r="A458" s="41"/>
      <c r="B458" s="14"/>
      <c r="C458" s="41"/>
      <c r="D458" s="43"/>
      <c r="E458" s="41"/>
      <c r="F458" s="41"/>
    </row>
    <row r="459">
      <c r="A459" s="41"/>
      <c r="B459" s="14"/>
      <c r="C459" s="41"/>
      <c r="D459" s="43"/>
      <c r="E459" s="41"/>
      <c r="F459" s="41"/>
    </row>
    <row r="460">
      <c r="A460" s="41"/>
      <c r="B460" s="14"/>
      <c r="C460" s="41"/>
      <c r="D460" s="43"/>
      <c r="E460" s="41"/>
      <c r="F460" s="41"/>
    </row>
    <row r="461">
      <c r="A461" s="41"/>
      <c r="B461" s="14"/>
      <c r="C461" s="41"/>
      <c r="D461" s="43"/>
      <c r="E461" s="41"/>
      <c r="F461" s="41"/>
    </row>
    <row r="462">
      <c r="A462" s="41"/>
      <c r="B462" s="14"/>
      <c r="C462" s="41"/>
      <c r="D462" s="43"/>
      <c r="E462" s="41"/>
      <c r="F462" s="41"/>
    </row>
    <row r="463">
      <c r="A463" s="41"/>
      <c r="B463" s="14"/>
      <c r="C463" s="41"/>
      <c r="D463" s="43"/>
      <c r="E463" s="41"/>
      <c r="F463" s="41"/>
    </row>
    <row r="464">
      <c r="A464" s="41"/>
      <c r="B464" s="14"/>
      <c r="C464" s="41"/>
      <c r="D464" s="43"/>
      <c r="E464" s="41"/>
      <c r="F464" s="41"/>
    </row>
    <row r="465">
      <c r="A465" s="41"/>
      <c r="B465" s="14"/>
      <c r="C465" s="41"/>
      <c r="D465" s="43"/>
      <c r="E465" s="41"/>
      <c r="F465" s="41"/>
    </row>
    <row r="466">
      <c r="A466" s="41"/>
      <c r="B466" s="14"/>
      <c r="C466" s="41"/>
      <c r="D466" s="43"/>
      <c r="E466" s="41"/>
      <c r="F466" s="41"/>
    </row>
    <row r="467">
      <c r="A467" s="41"/>
      <c r="B467" s="14"/>
      <c r="C467" s="41"/>
      <c r="D467" s="43"/>
      <c r="E467" s="41"/>
      <c r="F467" s="41"/>
    </row>
    <row r="468">
      <c r="A468" s="41"/>
      <c r="B468" s="14"/>
      <c r="C468" s="41"/>
      <c r="D468" s="43"/>
      <c r="E468" s="41"/>
      <c r="F468" s="41"/>
    </row>
    <row r="469">
      <c r="A469" s="41"/>
      <c r="B469" s="14"/>
      <c r="C469" s="41"/>
      <c r="D469" s="43"/>
      <c r="E469" s="41"/>
      <c r="F469" s="41"/>
    </row>
    <row r="470">
      <c r="A470" s="41"/>
      <c r="B470" s="14"/>
      <c r="C470" s="41"/>
      <c r="D470" s="43"/>
      <c r="E470" s="41"/>
      <c r="F470" s="41"/>
    </row>
    <row r="471">
      <c r="A471" s="41"/>
      <c r="B471" s="14"/>
      <c r="C471" s="41"/>
      <c r="D471" s="43"/>
      <c r="E471" s="41"/>
      <c r="F471" s="41"/>
    </row>
    <row r="472">
      <c r="A472" s="41"/>
      <c r="B472" s="14"/>
      <c r="C472" s="41"/>
      <c r="D472" s="43"/>
      <c r="E472" s="41"/>
      <c r="F472" s="41"/>
    </row>
    <row r="473">
      <c r="A473" s="41"/>
      <c r="B473" s="14"/>
      <c r="C473" s="41"/>
      <c r="D473" s="43"/>
      <c r="E473" s="41"/>
      <c r="F473" s="41"/>
    </row>
    <row r="474">
      <c r="A474" s="41"/>
      <c r="B474" s="14"/>
      <c r="C474" s="41"/>
      <c r="D474" s="43"/>
      <c r="E474" s="41"/>
      <c r="F474" s="41"/>
    </row>
    <row r="475">
      <c r="A475" s="41"/>
      <c r="B475" s="14"/>
      <c r="C475" s="41"/>
      <c r="D475" s="43"/>
      <c r="E475" s="41"/>
      <c r="F475" s="41"/>
    </row>
    <row r="476">
      <c r="A476" s="41"/>
      <c r="B476" s="14"/>
      <c r="C476" s="41"/>
      <c r="D476" s="43"/>
      <c r="E476" s="41"/>
      <c r="F476" s="41"/>
    </row>
    <row r="477">
      <c r="A477" s="41"/>
      <c r="B477" s="14"/>
      <c r="C477" s="41"/>
      <c r="D477" s="43"/>
      <c r="E477" s="41"/>
      <c r="F477" s="41"/>
    </row>
    <row r="478">
      <c r="A478" s="41"/>
      <c r="B478" s="14"/>
      <c r="C478" s="41"/>
      <c r="D478" s="43"/>
      <c r="E478" s="41"/>
      <c r="F478" s="41"/>
    </row>
    <row r="479">
      <c r="A479" s="41"/>
      <c r="B479" s="14"/>
      <c r="C479" s="41"/>
      <c r="D479" s="43"/>
      <c r="E479" s="41"/>
      <c r="F479" s="41"/>
    </row>
    <row r="480">
      <c r="A480" s="41"/>
      <c r="B480" s="14"/>
      <c r="C480" s="41"/>
      <c r="D480" s="43"/>
      <c r="E480" s="41"/>
      <c r="F480" s="41"/>
    </row>
    <row r="481">
      <c r="A481" s="41"/>
      <c r="B481" s="14"/>
      <c r="C481" s="41"/>
      <c r="D481" s="43"/>
      <c r="E481" s="41"/>
      <c r="F481" s="41"/>
    </row>
    <row r="482">
      <c r="A482" s="41"/>
      <c r="B482" s="14"/>
      <c r="C482" s="41"/>
      <c r="D482" s="43"/>
      <c r="E482" s="41"/>
      <c r="F482" s="41"/>
    </row>
    <row r="483">
      <c r="A483" s="41"/>
      <c r="B483" s="14"/>
      <c r="C483" s="41"/>
      <c r="D483" s="43"/>
      <c r="E483" s="41"/>
      <c r="F483" s="41"/>
    </row>
    <row r="484">
      <c r="A484" s="41"/>
      <c r="B484" s="14"/>
      <c r="C484" s="41"/>
      <c r="D484" s="43"/>
      <c r="E484" s="41"/>
      <c r="F484" s="41"/>
    </row>
    <row r="485">
      <c r="A485" s="41"/>
      <c r="B485" s="14"/>
      <c r="C485" s="41"/>
      <c r="D485" s="43"/>
      <c r="E485" s="41"/>
      <c r="F485" s="41"/>
    </row>
    <row r="486">
      <c r="A486" s="41"/>
      <c r="B486" s="14"/>
      <c r="C486" s="41"/>
      <c r="D486" s="43"/>
      <c r="E486" s="41"/>
      <c r="F486" s="41"/>
    </row>
    <row r="487">
      <c r="A487" s="41"/>
      <c r="B487" s="14"/>
      <c r="C487" s="41"/>
      <c r="D487" s="43"/>
      <c r="E487" s="41"/>
      <c r="F487" s="41"/>
    </row>
    <row r="488">
      <c r="A488" s="41"/>
      <c r="B488" s="14"/>
      <c r="C488" s="41"/>
      <c r="D488" s="43"/>
      <c r="E488" s="41"/>
      <c r="F488" s="41"/>
    </row>
    <row r="489">
      <c r="A489" s="41"/>
      <c r="B489" s="14"/>
      <c r="C489" s="41"/>
      <c r="D489" s="43"/>
      <c r="E489" s="41"/>
      <c r="F489" s="41"/>
    </row>
    <row r="490">
      <c r="A490" s="41"/>
      <c r="B490" s="14"/>
      <c r="C490" s="41"/>
      <c r="D490" s="43"/>
      <c r="E490" s="41"/>
      <c r="F490" s="41"/>
    </row>
    <row r="491">
      <c r="A491" s="41"/>
      <c r="B491" s="14"/>
      <c r="C491" s="41"/>
      <c r="D491" s="43"/>
      <c r="E491" s="41"/>
      <c r="F491" s="41"/>
    </row>
    <row r="492">
      <c r="A492" s="41"/>
      <c r="B492" s="14"/>
      <c r="C492" s="41"/>
      <c r="D492" s="43"/>
      <c r="E492" s="41"/>
      <c r="F492" s="41"/>
    </row>
    <row r="493">
      <c r="A493" s="41"/>
      <c r="B493" s="14"/>
      <c r="C493" s="41"/>
      <c r="D493" s="43"/>
      <c r="E493" s="41"/>
      <c r="F493" s="41"/>
    </row>
    <row r="494">
      <c r="A494" s="41"/>
      <c r="B494" s="14"/>
      <c r="C494" s="41"/>
      <c r="D494" s="43"/>
      <c r="E494" s="41"/>
      <c r="F494" s="41"/>
    </row>
    <row r="495">
      <c r="A495" s="41"/>
      <c r="B495" s="14"/>
      <c r="C495" s="41"/>
      <c r="D495" s="43"/>
      <c r="E495" s="41"/>
      <c r="F495" s="41"/>
    </row>
    <row r="496">
      <c r="A496" s="41"/>
      <c r="B496" s="14"/>
      <c r="C496" s="41"/>
      <c r="D496" s="43"/>
      <c r="E496" s="41"/>
      <c r="F496" s="41"/>
    </row>
    <row r="497">
      <c r="A497" s="41"/>
      <c r="B497" s="14"/>
      <c r="C497" s="41"/>
      <c r="D497" s="43"/>
      <c r="E497" s="41"/>
      <c r="F497" s="41"/>
    </row>
    <row r="498">
      <c r="A498" s="41"/>
      <c r="B498" s="14"/>
      <c r="C498" s="41"/>
      <c r="D498" s="43"/>
      <c r="E498" s="41"/>
      <c r="F498" s="41"/>
    </row>
    <row r="499">
      <c r="A499" s="41"/>
      <c r="B499" s="14"/>
      <c r="C499" s="41"/>
      <c r="D499" s="43"/>
      <c r="E499" s="41"/>
      <c r="F499" s="41"/>
    </row>
    <row r="500">
      <c r="A500" s="41"/>
      <c r="B500" s="14"/>
      <c r="C500" s="41"/>
      <c r="D500" s="43"/>
      <c r="E500" s="41"/>
      <c r="F500" s="41"/>
    </row>
    <row r="501">
      <c r="A501" s="41"/>
      <c r="B501" s="14"/>
      <c r="C501" s="41"/>
      <c r="D501" s="43"/>
      <c r="E501" s="41"/>
      <c r="F501" s="41"/>
    </row>
    <row r="502">
      <c r="A502" s="41"/>
      <c r="B502" s="14"/>
      <c r="C502" s="41"/>
      <c r="D502" s="43"/>
      <c r="E502" s="41"/>
      <c r="F502" s="41"/>
    </row>
    <row r="503">
      <c r="A503" s="41"/>
      <c r="B503" s="14"/>
      <c r="C503" s="41"/>
      <c r="D503" s="43"/>
      <c r="E503" s="41"/>
      <c r="F503" s="41"/>
    </row>
    <row r="504">
      <c r="A504" s="41"/>
      <c r="B504" s="14"/>
      <c r="C504" s="41"/>
      <c r="D504" s="43"/>
      <c r="E504" s="41"/>
      <c r="F504" s="41"/>
    </row>
    <row r="505">
      <c r="A505" s="41"/>
      <c r="B505" s="14"/>
      <c r="C505" s="41"/>
      <c r="D505" s="43"/>
      <c r="E505" s="41"/>
      <c r="F505" s="41"/>
    </row>
    <row r="506">
      <c r="A506" s="41"/>
      <c r="B506" s="14"/>
      <c r="C506" s="41"/>
      <c r="D506" s="43"/>
      <c r="E506" s="41"/>
      <c r="F506" s="41"/>
    </row>
    <row r="507">
      <c r="A507" s="41"/>
      <c r="B507" s="14"/>
      <c r="C507" s="41"/>
      <c r="D507" s="43"/>
      <c r="E507" s="41"/>
      <c r="F507" s="41"/>
    </row>
    <row r="508">
      <c r="A508" s="41"/>
      <c r="B508" s="14"/>
      <c r="C508" s="41"/>
      <c r="D508" s="43"/>
      <c r="E508" s="41"/>
      <c r="F508" s="41"/>
    </row>
    <row r="509">
      <c r="A509" s="41"/>
      <c r="B509" s="14"/>
      <c r="C509" s="41"/>
      <c r="D509" s="43"/>
      <c r="E509" s="41"/>
      <c r="F509" s="41"/>
    </row>
    <row r="510">
      <c r="A510" s="41"/>
      <c r="B510" s="14"/>
      <c r="C510" s="41"/>
      <c r="D510" s="43"/>
      <c r="E510" s="41"/>
      <c r="F510" s="41"/>
    </row>
    <row r="511">
      <c r="A511" s="41"/>
      <c r="B511" s="14"/>
      <c r="C511" s="41"/>
      <c r="D511" s="43"/>
      <c r="E511" s="41"/>
      <c r="F511" s="41"/>
    </row>
    <row r="512">
      <c r="A512" s="41"/>
      <c r="B512" s="14"/>
      <c r="C512" s="41"/>
      <c r="D512" s="43"/>
      <c r="E512" s="41"/>
      <c r="F512" s="41"/>
    </row>
    <row r="513">
      <c r="A513" s="41"/>
      <c r="B513" s="14"/>
      <c r="C513" s="41"/>
      <c r="D513" s="43"/>
      <c r="E513" s="41"/>
      <c r="F513" s="41"/>
    </row>
    <row r="514">
      <c r="A514" s="41"/>
      <c r="B514" s="14"/>
      <c r="C514" s="41"/>
      <c r="D514" s="43"/>
      <c r="E514" s="41"/>
      <c r="F514" s="41"/>
    </row>
    <row r="515">
      <c r="A515" s="41"/>
      <c r="B515" s="14"/>
      <c r="C515" s="41"/>
      <c r="D515" s="43"/>
      <c r="E515" s="41"/>
      <c r="F515" s="41"/>
    </row>
    <row r="516">
      <c r="A516" s="41"/>
      <c r="B516" s="14"/>
      <c r="C516" s="41"/>
      <c r="D516" s="43"/>
      <c r="E516" s="41"/>
      <c r="F516" s="41"/>
    </row>
    <row r="517">
      <c r="A517" s="41"/>
      <c r="B517" s="14"/>
      <c r="C517" s="41"/>
      <c r="D517" s="43"/>
      <c r="E517" s="41"/>
      <c r="F517" s="41"/>
    </row>
    <row r="518">
      <c r="A518" s="41"/>
      <c r="B518" s="14"/>
      <c r="C518" s="41"/>
      <c r="D518" s="43"/>
      <c r="E518" s="41"/>
      <c r="F518" s="41"/>
    </row>
    <row r="519">
      <c r="A519" s="41"/>
      <c r="B519" s="14"/>
      <c r="C519" s="41"/>
      <c r="D519" s="43"/>
      <c r="E519" s="41"/>
      <c r="F519" s="41"/>
    </row>
    <row r="520">
      <c r="A520" s="41"/>
      <c r="B520" s="14"/>
      <c r="C520" s="41"/>
      <c r="D520" s="43"/>
      <c r="E520" s="41"/>
      <c r="F520" s="41"/>
    </row>
    <row r="521">
      <c r="A521" s="41"/>
      <c r="B521" s="14"/>
      <c r="C521" s="41"/>
      <c r="D521" s="43"/>
      <c r="E521" s="41"/>
      <c r="F521" s="41"/>
    </row>
    <row r="522">
      <c r="A522" s="41"/>
      <c r="B522" s="14"/>
      <c r="C522" s="41"/>
      <c r="D522" s="43"/>
      <c r="E522" s="41"/>
      <c r="F522" s="41"/>
    </row>
    <row r="523">
      <c r="A523" s="41"/>
      <c r="B523" s="14"/>
      <c r="C523" s="41"/>
      <c r="D523" s="43"/>
      <c r="E523" s="41"/>
      <c r="F523" s="41"/>
    </row>
    <row r="524">
      <c r="A524" s="41"/>
      <c r="B524" s="14"/>
      <c r="C524" s="41"/>
      <c r="D524" s="43"/>
      <c r="E524" s="41"/>
      <c r="F524" s="41"/>
    </row>
    <row r="525">
      <c r="A525" s="41"/>
      <c r="B525" s="14"/>
      <c r="C525" s="41"/>
      <c r="D525" s="43"/>
      <c r="E525" s="41"/>
      <c r="F525" s="41"/>
    </row>
    <row r="526">
      <c r="A526" s="41"/>
      <c r="B526" s="14"/>
      <c r="C526" s="41"/>
      <c r="D526" s="43"/>
      <c r="E526" s="41"/>
      <c r="F526" s="41"/>
    </row>
    <row r="527">
      <c r="A527" s="41"/>
      <c r="B527" s="14"/>
      <c r="C527" s="41"/>
      <c r="D527" s="43"/>
      <c r="E527" s="41"/>
      <c r="F527" s="41"/>
    </row>
    <row r="528">
      <c r="A528" s="41"/>
      <c r="B528" s="14"/>
      <c r="C528" s="41"/>
      <c r="D528" s="43"/>
      <c r="E528" s="41"/>
      <c r="F528" s="41"/>
    </row>
    <row r="529">
      <c r="A529" s="41"/>
      <c r="B529" s="14"/>
      <c r="C529" s="41"/>
      <c r="D529" s="43"/>
      <c r="E529" s="41"/>
      <c r="F529" s="41"/>
    </row>
    <row r="530">
      <c r="A530" s="41"/>
      <c r="B530" s="14"/>
      <c r="C530" s="41"/>
      <c r="D530" s="43"/>
      <c r="E530" s="41"/>
      <c r="F530" s="41"/>
    </row>
    <row r="531">
      <c r="A531" s="41"/>
      <c r="B531" s="14"/>
      <c r="C531" s="41"/>
      <c r="D531" s="43"/>
      <c r="E531" s="41"/>
      <c r="F531" s="41"/>
    </row>
    <row r="532">
      <c r="A532" s="41"/>
      <c r="B532" s="14"/>
      <c r="C532" s="41"/>
      <c r="D532" s="43"/>
      <c r="E532" s="41"/>
      <c r="F532" s="41"/>
    </row>
    <row r="533">
      <c r="A533" s="41"/>
      <c r="B533" s="14"/>
      <c r="C533" s="41"/>
      <c r="D533" s="43"/>
      <c r="E533" s="41"/>
      <c r="F533" s="41"/>
    </row>
    <row r="534">
      <c r="A534" s="41"/>
      <c r="B534" s="14"/>
      <c r="C534" s="41"/>
      <c r="D534" s="43"/>
      <c r="E534" s="41"/>
      <c r="F534" s="41"/>
    </row>
    <row r="535">
      <c r="A535" s="41"/>
      <c r="B535" s="14"/>
      <c r="C535" s="41"/>
      <c r="D535" s="43"/>
      <c r="E535" s="41"/>
      <c r="F535" s="41"/>
    </row>
    <row r="536">
      <c r="A536" s="41"/>
      <c r="B536" s="14"/>
      <c r="C536" s="41"/>
      <c r="D536" s="43"/>
      <c r="E536" s="41"/>
      <c r="F536" s="41"/>
    </row>
    <row r="537">
      <c r="A537" s="41"/>
      <c r="B537" s="14"/>
      <c r="C537" s="41"/>
      <c r="D537" s="43"/>
      <c r="E537" s="41"/>
      <c r="F537" s="41"/>
    </row>
    <row r="538">
      <c r="A538" s="41"/>
      <c r="B538" s="14"/>
      <c r="C538" s="41"/>
      <c r="D538" s="43"/>
      <c r="E538" s="41"/>
      <c r="F538" s="41"/>
    </row>
    <row r="539">
      <c r="A539" s="41"/>
      <c r="B539" s="14"/>
      <c r="C539" s="41"/>
      <c r="D539" s="43"/>
      <c r="E539" s="41"/>
      <c r="F539" s="41"/>
    </row>
    <row r="540">
      <c r="A540" s="41"/>
      <c r="B540" s="14"/>
      <c r="C540" s="41"/>
      <c r="D540" s="43"/>
      <c r="E540" s="41"/>
      <c r="F540" s="41"/>
    </row>
    <row r="541">
      <c r="A541" s="41"/>
      <c r="B541" s="14"/>
      <c r="C541" s="41"/>
      <c r="D541" s="43"/>
      <c r="E541" s="41"/>
      <c r="F541" s="41"/>
    </row>
    <row r="542">
      <c r="A542" s="41"/>
      <c r="B542" s="14"/>
      <c r="C542" s="41"/>
      <c r="D542" s="43"/>
      <c r="E542" s="41"/>
      <c r="F542" s="41"/>
    </row>
    <row r="543">
      <c r="A543" s="41"/>
      <c r="B543" s="14"/>
      <c r="C543" s="41"/>
      <c r="D543" s="43"/>
      <c r="E543" s="41"/>
      <c r="F543" s="41"/>
    </row>
    <row r="544">
      <c r="A544" s="41"/>
      <c r="B544" s="14"/>
      <c r="C544" s="41"/>
      <c r="D544" s="43"/>
      <c r="E544" s="41"/>
      <c r="F544" s="41"/>
    </row>
    <row r="545">
      <c r="A545" s="41"/>
      <c r="B545" s="14"/>
      <c r="C545" s="41"/>
      <c r="D545" s="43"/>
      <c r="E545" s="41"/>
      <c r="F545" s="41"/>
    </row>
    <row r="546">
      <c r="A546" s="41"/>
      <c r="B546" s="14"/>
      <c r="C546" s="41"/>
      <c r="D546" s="43"/>
      <c r="E546" s="41"/>
      <c r="F546" s="41"/>
    </row>
    <row r="547">
      <c r="A547" s="41"/>
      <c r="B547" s="14"/>
      <c r="C547" s="41"/>
      <c r="D547" s="43"/>
      <c r="E547" s="41"/>
      <c r="F547" s="41"/>
    </row>
    <row r="548">
      <c r="A548" s="41"/>
      <c r="B548" s="14"/>
      <c r="C548" s="41"/>
      <c r="D548" s="43"/>
      <c r="E548" s="41"/>
      <c r="F548" s="41"/>
    </row>
    <row r="549">
      <c r="A549" s="41"/>
      <c r="B549" s="14"/>
      <c r="C549" s="41"/>
      <c r="D549" s="43"/>
      <c r="E549" s="41"/>
      <c r="F549" s="41"/>
    </row>
    <row r="550">
      <c r="A550" s="41"/>
      <c r="B550" s="14"/>
      <c r="C550" s="41"/>
      <c r="D550" s="43"/>
      <c r="E550" s="41"/>
      <c r="F550" s="41"/>
    </row>
    <row r="551">
      <c r="A551" s="41"/>
      <c r="B551" s="14"/>
      <c r="C551" s="41"/>
      <c r="D551" s="43"/>
      <c r="E551" s="41"/>
      <c r="F551" s="41"/>
    </row>
    <row r="552">
      <c r="A552" s="41"/>
      <c r="B552" s="14"/>
      <c r="C552" s="41"/>
      <c r="D552" s="43"/>
      <c r="E552" s="41"/>
      <c r="F552" s="41"/>
    </row>
    <row r="553">
      <c r="A553" s="41"/>
      <c r="B553" s="14"/>
      <c r="C553" s="41"/>
      <c r="D553" s="43"/>
      <c r="E553" s="41"/>
      <c r="F553" s="41"/>
    </row>
    <row r="554">
      <c r="A554" s="41"/>
      <c r="B554" s="14"/>
      <c r="C554" s="41"/>
      <c r="D554" s="43"/>
      <c r="E554" s="41"/>
      <c r="F554" s="41"/>
    </row>
    <row r="555">
      <c r="A555" s="41"/>
      <c r="B555" s="14"/>
      <c r="C555" s="41"/>
      <c r="D555" s="43"/>
      <c r="E555" s="41"/>
      <c r="F555" s="41"/>
    </row>
    <row r="556">
      <c r="A556" s="41"/>
      <c r="B556" s="14"/>
      <c r="C556" s="41"/>
      <c r="D556" s="43"/>
      <c r="E556" s="41"/>
      <c r="F556" s="41"/>
    </row>
    <row r="557">
      <c r="A557" s="41"/>
      <c r="B557" s="14"/>
      <c r="C557" s="41"/>
      <c r="D557" s="43"/>
      <c r="E557" s="41"/>
      <c r="F557" s="41"/>
    </row>
    <row r="558">
      <c r="A558" s="41"/>
      <c r="B558" s="14"/>
      <c r="C558" s="41"/>
      <c r="D558" s="43"/>
      <c r="E558" s="41"/>
      <c r="F558" s="41"/>
    </row>
    <row r="559">
      <c r="A559" s="41"/>
      <c r="B559" s="14"/>
      <c r="C559" s="41"/>
      <c r="D559" s="43"/>
      <c r="E559" s="41"/>
      <c r="F559" s="41"/>
    </row>
    <row r="560">
      <c r="A560" s="41"/>
      <c r="B560" s="14"/>
      <c r="C560" s="41"/>
      <c r="D560" s="43"/>
      <c r="E560" s="41"/>
      <c r="F560" s="41"/>
    </row>
    <row r="561">
      <c r="A561" s="41"/>
      <c r="B561" s="14"/>
      <c r="C561" s="41"/>
      <c r="D561" s="43"/>
      <c r="E561" s="41"/>
      <c r="F561" s="41"/>
    </row>
    <row r="562">
      <c r="A562" s="41"/>
      <c r="B562" s="14"/>
      <c r="C562" s="41"/>
      <c r="D562" s="43"/>
      <c r="E562" s="41"/>
      <c r="F562" s="41"/>
    </row>
    <row r="563">
      <c r="A563" s="41"/>
      <c r="B563" s="14"/>
      <c r="C563" s="41"/>
      <c r="D563" s="43"/>
      <c r="E563" s="41"/>
      <c r="F563" s="41"/>
    </row>
    <row r="564">
      <c r="A564" s="41"/>
      <c r="B564" s="14"/>
      <c r="C564" s="41"/>
      <c r="D564" s="43"/>
      <c r="E564" s="41"/>
      <c r="F564" s="41"/>
    </row>
    <row r="565">
      <c r="A565" s="41"/>
      <c r="B565" s="14"/>
      <c r="C565" s="41"/>
      <c r="D565" s="43"/>
      <c r="E565" s="41"/>
      <c r="F565" s="41"/>
    </row>
    <row r="566">
      <c r="A566" s="41"/>
      <c r="B566" s="14"/>
      <c r="C566" s="41"/>
      <c r="D566" s="43"/>
      <c r="E566" s="41"/>
      <c r="F566" s="41"/>
    </row>
    <row r="567">
      <c r="A567" s="41"/>
      <c r="B567" s="14"/>
      <c r="C567" s="41"/>
      <c r="D567" s="43"/>
      <c r="E567" s="41"/>
      <c r="F567" s="41"/>
    </row>
    <row r="568">
      <c r="A568" s="41"/>
      <c r="B568" s="14"/>
      <c r="C568" s="41"/>
      <c r="D568" s="43"/>
      <c r="E568" s="41"/>
      <c r="F568" s="41"/>
    </row>
    <row r="569">
      <c r="A569" s="41"/>
      <c r="B569" s="14"/>
      <c r="C569" s="41"/>
      <c r="D569" s="43"/>
      <c r="E569" s="41"/>
      <c r="F569" s="41"/>
    </row>
    <row r="570">
      <c r="A570" s="41"/>
      <c r="B570" s="14"/>
      <c r="C570" s="41"/>
      <c r="D570" s="43"/>
      <c r="E570" s="41"/>
      <c r="F570" s="41"/>
    </row>
    <row r="571">
      <c r="A571" s="41"/>
      <c r="B571" s="14"/>
      <c r="C571" s="41"/>
      <c r="D571" s="43"/>
      <c r="E571" s="41"/>
      <c r="F571" s="41"/>
    </row>
    <row r="572">
      <c r="A572" s="41"/>
      <c r="B572" s="14"/>
      <c r="C572" s="41"/>
      <c r="D572" s="43"/>
      <c r="E572" s="41"/>
      <c r="F572" s="41"/>
    </row>
    <row r="573">
      <c r="A573" s="41"/>
      <c r="B573" s="14"/>
      <c r="C573" s="41"/>
      <c r="D573" s="43"/>
      <c r="E573" s="41"/>
      <c r="F573" s="41"/>
    </row>
    <row r="574">
      <c r="A574" s="41"/>
      <c r="B574" s="14"/>
      <c r="C574" s="41"/>
      <c r="D574" s="43"/>
      <c r="E574" s="41"/>
      <c r="F574" s="41"/>
    </row>
    <row r="575">
      <c r="A575" s="41"/>
      <c r="B575" s="14"/>
      <c r="C575" s="41"/>
      <c r="D575" s="43"/>
      <c r="E575" s="41"/>
      <c r="F575" s="41"/>
    </row>
    <row r="576">
      <c r="A576" s="41"/>
      <c r="B576" s="14"/>
      <c r="C576" s="41"/>
      <c r="D576" s="43"/>
      <c r="E576" s="41"/>
      <c r="F576" s="41"/>
    </row>
    <row r="577">
      <c r="A577" s="41"/>
      <c r="B577" s="14"/>
      <c r="C577" s="41"/>
      <c r="D577" s="43"/>
      <c r="E577" s="41"/>
      <c r="F577" s="41"/>
    </row>
    <row r="578">
      <c r="A578" s="41"/>
      <c r="B578" s="14"/>
      <c r="C578" s="41"/>
      <c r="D578" s="43"/>
      <c r="E578" s="41"/>
      <c r="F578" s="41"/>
    </row>
    <row r="579">
      <c r="A579" s="41"/>
      <c r="B579" s="14"/>
      <c r="C579" s="41"/>
      <c r="D579" s="43"/>
      <c r="E579" s="41"/>
      <c r="F579" s="41"/>
    </row>
    <row r="580">
      <c r="A580" s="41"/>
      <c r="B580" s="14"/>
      <c r="C580" s="41"/>
      <c r="D580" s="43"/>
      <c r="E580" s="41"/>
      <c r="F580" s="41"/>
    </row>
    <row r="581">
      <c r="A581" s="41"/>
      <c r="B581" s="14"/>
      <c r="C581" s="41"/>
      <c r="D581" s="43"/>
      <c r="E581" s="41"/>
      <c r="F581" s="41"/>
    </row>
    <row r="582">
      <c r="A582" s="41"/>
      <c r="B582" s="14"/>
      <c r="C582" s="41"/>
      <c r="D582" s="43"/>
      <c r="E582" s="41"/>
      <c r="F582" s="41"/>
    </row>
    <row r="583">
      <c r="A583" s="41"/>
      <c r="B583" s="14"/>
      <c r="C583" s="41"/>
      <c r="D583" s="43"/>
      <c r="E583" s="41"/>
      <c r="F583" s="41"/>
    </row>
    <row r="584">
      <c r="A584" s="41"/>
      <c r="B584" s="14"/>
      <c r="C584" s="41"/>
      <c r="D584" s="43"/>
      <c r="E584" s="41"/>
      <c r="F584" s="41"/>
    </row>
    <row r="585">
      <c r="A585" s="41"/>
      <c r="B585" s="14"/>
      <c r="C585" s="41"/>
      <c r="D585" s="43"/>
      <c r="E585" s="41"/>
      <c r="F585" s="41"/>
    </row>
    <row r="586">
      <c r="A586" s="41"/>
      <c r="B586" s="14"/>
      <c r="C586" s="41"/>
      <c r="D586" s="43"/>
      <c r="E586" s="41"/>
      <c r="F586" s="41"/>
    </row>
    <row r="587">
      <c r="A587" s="41"/>
      <c r="B587" s="14"/>
      <c r="C587" s="41"/>
      <c r="D587" s="43"/>
      <c r="E587" s="41"/>
      <c r="F587" s="41"/>
    </row>
    <row r="588">
      <c r="A588" s="41"/>
      <c r="B588" s="14"/>
      <c r="C588" s="41"/>
      <c r="D588" s="43"/>
      <c r="E588" s="41"/>
      <c r="F588" s="41"/>
    </row>
    <row r="589">
      <c r="A589" s="41"/>
      <c r="B589" s="14"/>
      <c r="C589" s="41"/>
      <c r="D589" s="43"/>
      <c r="E589" s="41"/>
      <c r="F589" s="41"/>
    </row>
    <row r="590">
      <c r="A590" s="41"/>
      <c r="B590" s="14"/>
      <c r="C590" s="41"/>
      <c r="D590" s="43"/>
      <c r="E590" s="41"/>
      <c r="F590" s="41"/>
    </row>
    <row r="591">
      <c r="A591" s="41"/>
      <c r="B591" s="14"/>
      <c r="C591" s="41"/>
      <c r="D591" s="43"/>
      <c r="E591" s="41"/>
      <c r="F591" s="41"/>
    </row>
    <row r="592">
      <c r="A592" s="41"/>
      <c r="B592" s="14"/>
      <c r="C592" s="41"/>
      <c r="D592" s="43"/>
      <c r="E592" s="41"/>
      <c r="F592" s="41"/>
    </row>
    <row r="593">
      <c r="A593" s="41"/>
      <c r="B593" s="14"/>
      <c r="C593" s="41"/>
      <c r="D593" s="43"/>
      <c r="E593" s="41"/>
      <c r="F593" s="41"/>
    </row>
    <row r="594">
      <c r="A594" s="41"/>
      <c r="B594" s="14"/>
      <c r="C594" s="41"/>
      <c r="D594" s="43"/>
      <c r="E594" s="41"/>
      <c r="F594" s="41"/>
    </row>
    <row r="595">
      <c r="A595" s="41"/>
      <c r="B595" s="14"/>
      <c r="C595" s="41"/>
      <c r="D595" s="43"/>
      <c r="E595" s="41"/>
      <c r="F595" s="41"/>
    </row>
    <row r="596">
      <c r="A596" s="41"/>
      <c r="B596" s="14"/>
      <c r="C596" s="41"/>
      <c r="D596" s="43"/>
      <c r="E596" s="41"/>
      <c r="F596" s="41"/>
    </row>
    <row r="597">
      <c r="A597" s="41"/>
      <c r="B597" s="14"/>
      <c r="C597" s="41"/>
      <c r="D597" s="43"/>
      <c r="E597" s="41"/>
      <c r="F597" s="41"/>
    </row>
    <row r="598">
      <c r="A598" s="41"/>
      <c r="B598" s="14"/>
      <c r="C598" s="41"/>
      <c r="D598" s="43"/>
      <c r="E598" s="41"/>
      <c r="F598" s="41"/>
    </row>
    <row r="599">
      <c r="A599" s="41"/>
      <c r="B599" s="14"/>
      <c r="C599" s="41"/>
      <c r="D599" s="43"/>
      <c r="E599" s="41"/>
      <c r="F599" s="41"/>
    </row>
    <row r="600">
      <c r="A600" s="41"/>
      <c r="B600" s="14"/>
      <c r="C600" s="41"/>
      <c r="D600" s="43"/>
      <c r="E600" s="41"/>
      <c r="F600" s="41"/>
    </row>
    <row r="601">
      <c r="A601" s="41"/>
      <c r="B601" s="14"/>
      <c r="C601" s="41"/>
      <c r="D601" s="43"/>
      <c r="E601" s="41"/>
      <c r="F601" s="41"/>
    </row>
    <row r="602">
      <c r="A602" s="41"/>
      <c r="B602" s="14"/>
      <c r="C602" s="41"/>
      <c r="D602" s="43"/>
      <c r="E602" s="41"/>
      <c r="F602" s="41"/>
    </row>
    <row r="603">
      <c r="A603" s="41"/>
      <c r="B603" s="14"/>
      <c r="C603" s="41"/>
      <c r="D603" s="43"/>
      <c r="E603" s="41"/>
      <c r="F603" s="41"/>
    </row>
    <row r="604">
      <c r="A604" s="41"/>
      <c r="B604" s="14"/>
      <c r="C604" s="41"/>
      <c r="D604" s="43"/>
      <c r="E604" s="41"/>
      <c r="F604" s="41"/>
    </row>
    <row r="605">
      <c r="A605" s="41"/>
      <c r="B605" s="14"/>
      <c r="C605" s="41"/>
      <c r="D605" s="43"/>
      <c r="E605" s="41"/>
      <c r="F605" s="41"/>
    </row>
    <row r="606">
      <c r="A606" s="41"/>
      <c r="B606" s="14"/>
      <c r="C606" s="41"/>
      <c r="D606" s="43"/>
      <c r="E606" s="41"/>
      <c r="F606" s="41"/>
    </row>
    <row r="607">
      <c r="A607" s="41"/>
      <c r="B607" s="14"/>
      <c r="C607" s="41"/>
      <c r="D607" s="43"/>
      <c r="E607" s="41"/>
      <c r="F607" s="41"/>
    </row>
    <row r="608">
      <c r="A608" s="41"/>
      <c r="B608" s="14"/>
      <c r="C608" s="41"/>
      <c r="D608" s="43"/>
      <c r="E608" s="41"/>
      <c r="F608" s="41"/>
    </row>
    <row r="609">
      <c r="A609" s="41"/>
      <c r="B609" s="14"/>
      <c r="C609" s="41"/>
      <c r="D609" s="43"/>
      <c r="E609" s="41"/>
      <c r="F609" s="41"/>
    </row>
    <row r="610">
      <c r="A610" s="41"/>
      <c r="B610" s="14"/>
      <c r="C610" s="41"/>
      <c r="D610" s="43"/>
      <c r="E610" s="41"/>
      <c r="F610" s="41"/>
    </row>
    <row r="611">
      <c r="A611" s="41"/>
      <c r="B611" s="14"/>
      <c r="C611" s="41"/>
      <c r="D611" s="43"/>
      <c r="E611" s="41"/>
      <c r="F611" s="41"/>
    </row>
    <row r="612">
      <c r="A612" s="41"/>
      <c r="B612" s="14"/>
      <c r="C612" s="41"/>
      <c r="D612" s="43"/>
      <c r="E612" s="41"/>
      <c r="F612" s="41"/>
    </row>
    <row r="613">
      <c r="A613" s="41"/>
      <c r="B613" s="14"/>
      <c r="C613" s="41"/>
      <c r="D613" s="43"/>
      <c r="E613" s="41"/>
      <c r="F613" s="41"/>
    </row>
    <row r="614">
      <c r="A614" s="41"/>
      <c r="B614" s="14"/>
      <c r="C614" s="41"/>
      <c r="D614" s="43"/>
      <c r="E614" s="41"/>
      <c r="F614" s="41"/>
    </row>
    <row r="615">
      <c r="A615" s="41"/>
      <c r="B615" s="14"/>
      <c r="C615" s="41"/>
      <c r="D615" s="43"/>
      <c r="E615" s="41"/>
      <c r="F615" s="41"/>
    </row>
    <row r="616">
      <c r="A616" s="41"/>
      <c r="B616" s="14"/>
      <c r="C616" s="41"/>
      <c r="D616" s="43"/>
      <c r="E616" s="41"/>
      <c r="F616" s="41"/>
    </row>
    <row r="617">
      <c r="A617" s="41"/>
      <c r="B617" s="14"/>
      <c r="C617" s="41"/>
      <c r="D617" s="43"/>
      <c r="E617" s="41"/>
      <c r="F617" s="41"/>
    </row>
    <row r="618">
      <c r="A618" s="41"/>
      <c r="B618" s="14"/>
      <c r="C618" s="41"/>
      <c r="D618" s="43"/>
      <c r="E618" s="41"/>
      <c r="F618" s="41"/>
    </row>
    <row r="619">
      <c r="A619" s="41"/>
      <c r="B619" s="14"/>
      <c r="C619" s="41"/>
      <c r="D619" s="43"/>
      <c r="E619" s="41"/>
      <c r="F619" s="41"/>
    </row>
    <row r="620">
      <c r="A620" s="41"/>
      <c r="B620" s="14"/>
      <c r="C620" s="41"/>
      <c r="D620" s="43"/>
      <c r="E620" s="41"/>
      <c r="F620" s="41"/>
    </row>
    <row r="621">
      <c r="A621" s="41"/>
      <c r="B621" s="14"/>
      <c r="C621" s="41"/>
      <c r="D621" s="43"/>
      <c r="E621" s="41"/>
      <c r="F621" s="41"/>
    </row>
    <row r="622">
      <c r="A622" s="41"/>
      <c r="B622" s="14"/>
      <c r="C622" s="41"/>
      <c r="D622" s="43"/>
      <c r="E622" s="41"/>
      <c r="F622" s="41"/>
    </row>
    <row r="623">
      <c r="A623" s="41"/>
      <c r="B623" s="14"/>
      <c r="C623" s="41"/>
      <c r="D623" s="43"/>
      <c r="E623" s="41"/>
      <c r="F623" s="41"/>
    </row>
    <row r="624">
      <c r="A624" s="41"/>
      <c r="B624" s="14"/>
      <c r="C624" s="41"/>
      <c r="D624" s="43"/>
      <c r="E624" s="41"/>
      <c r="F624" s="41"/>
    </row>
    <row r="625">
      <c r="A625" s="41"/>
      <c r="B625" s="14"/>
      <c r="C625" s="41"/>
      <c r="D625" s="43"/>
      <c r="E625" s="41"/>
      <c r="F625" s="41"/>
    </row>
    <row r="626">
      <c r="A626" s="41"/>
      <c r="B626" s="14"/>
      <c r="C626" s="41"/>
      <c r="D626" s="43"/>
      <c r="E626" s="41"/>
      <c r="F626" s="41"/>
    </row>
    <row r="627">
      <c r="A627" s="41"/>
      <c r="B627" s="14"/>
      <c r="C627" s="41"/>
      <c r="D627" s="43"/>
      <c r="E627" s="41"/>
      <c r="F627" s="41"/>
    </row>
    <row r="628">
      <c r="A628" s="41"/>
      <c r="B628" s="14"/>
      <c r="C628" s="41"/>
      <c r="D628" s="43"/>
      <c r="E628" s="41"/>
      <c r="F628" s="41"/>
    </row>
    <row r="629">
      <c r="A629" s="41"/>
      <c r="B629" s="14"/>
      <c r="C629" s="41"/>
      <c r="D629" s="43"/>
      <c r="E629" s="41"/>
      <c r="F629" s="41"/>
    </row>
    <row r="630">
      <c r="A630" s="41"/>
      <c r="B630" s="14"/>
      <c r="C630" s="41"/>
      <c r="D630" s="43"/>
      <c r="E630" s="41"/>
      <c r="F630" s="41"/>
    </row>
    <row r="631">
      <c r="A631" s="41"/>
      <c r="B631" s="14"/>
      <c r="C631" s="41"/>
      <c r="D631" s="43"/>
      <c r="E631" s="41"/>
      <c r="F631" s="41"/>
    </row>
    <row r="632">
      <c r="A632" s="41"/>
      <c r="B632" s="14"/>
      <c r="C632" s="41"/>
      <c r="D632" s="43"/>
      <c r="E632" s="41"/>
      <c r="F632" s="41"/>
    </row>
    <row r="633">
      <c r="A633" s="41"/>
      <c r="B633" s="14"/>
      <c r="C633" s="41"/>
      <c r="D633" s="43"/>
      <c r="E633" s="41"/>
      <c r="F633" s="41"/>
    </row>
    <row r="634">
      <c r="A634" s="41"/>
      <c r="B634" s="14"/>
      <c r="C634" s="41"/>
      <c r="D634" s="43"/>
      <c r="E634" s="41"/>
      <c r="F634" s="41"/>
    </row>
    <row r="635">
      <c r="A635" s="41"/>
      <c r="B635" s="14"/>
      <c r="C635" s="41"/>
      <c r="D635" s="43"/>
      <c r="E635" s="41"/>
      <c r="F635" s="41"/>
    </row>
    <row r="636">
      <c r="A636" s="41"/>
      <c r="B636" s="14"/>
      <c r="C636" s="41"/>
      <c r="D636" s="43"/>
      <c r="E636" s="41"/>
      <c r="F636" s="41"/>
    </row>
    <row r="637">
      <c r="A637" s="41"/>
      <c r="B637" s="14"/>
      <c r="C637" s="41"/>
      <c r="D637" s="43"/>
      <c r="E637" s="41"/>
      <c r="F637" s="41"/>
    </row>
    <row r="638">
      <c r="A638" s="41"/>
      <c r="B638" s="14"/>
      <c r="C638" s="41"/>
      <c r="D638" s="43"/>
      <c r="E638" s="41"/>
      <c r="F638" s="41"/>
    </row>
    <row r="639">
      <c r="A639" s="41"/>
      <c r="B639" s="14"/>
      <c r="C639" s="41"/>
      <c r="D639" s="43"/>
      <c r="E639" s="41"/>
      <c r="F639" s="41"/>
    </row>
    <row r="640">
      <c r="A640" s="41"/>
      <c r="B640" s="14"/>
      <c r="C640" s="41"/>
      <c r="D640" s="43"/>
      <c r="E640" s="41"/>
      <c r="F640" s="41"/>
    </row>
    <row r="641">
      <c r="A641" s="41"/>
      <c r="B641" s="14"/>
      <c r="C641" s="41"/>
      <c r="D641" s="43"/>
      <c r="E641" s="41"/>
      <c r="F641" s="41"/>
    </row>
    <row r="642">
      <c r="A642" s="41"/>
      <c r="B642" s="14"/>
      <c r="C642" s="41"/>
      <c r="D642" s="43"/>
      <c r="E642" s="41"/>
      <c r="F642" s="41"/>
    </row>
    <row r="643">
      <c r="A643" s="41"/>
      <c r="B643" s="14"/>
      <c r="C643" s="41"/>
      <c r="D643" s="43"/>
      <c r="E643" s="41"/>
      <c r="F643" s="41"/>
    </row>
    <row r="644">
      <c r="A644" s="41"/>
      <c r="B644" s="14"/>
      <c r="C644" s="41"/>
      <c r="D644" s="43"/>
      <c r="E644" s="41"/>
      <c r="F644" s="41"/>
    </row>
    <row r="645">
      <c r="A645" s="41"/>
      <c r="B645" s="14"/>
      <c r="C645" s="41"/>
      <c r="D645" s="43"/>
      <c r="E645" s="41"/>
      <c r="F645" s="41"/>
    </row>
    <row r="646">
      <c r="A646" s="41"/>
      <c r="B646" s="14"/>
      <c r="C646" s="41"/>
      <c r="D646" s="43"/>
      <c r="E646" s="41"/>
      <c r="F646" s="41"/>
    </row>
    <row r="647">
      <c r="A647" s="41"/>
      <c r="B647" s="14"/>
      <c r="C647" s="41"/>
      <c r="D647" s="43"/>
      <c r="E647" s="41"/>
      <c r="F647" s="41"/>
    </row>
    <row r="648">
      <c r="A648" s="41"/>
      <c r="B648" s="14"/>
      <c r="C648" s="41"/>
      <c r="D648" s="43"/>
      <c r="E648" s="41"/>
      <c r="F648" s="41"/>
    </row>
    <row r="649">
      <c r="A649" s="41"/>
      <c r="B649" s="14"/>
      <c r="C649" s="41"/>
      <c r="D649" s="43"/>
      <c r="E649" s="41"/>
      <c r="F649" s="41"/>
    </row>
    <row r="650">
      <c r="A650" s="41"/>
      <c r="B650" s="14"/>
      <c r="C650" s="41"/>
      <c r="D650" s="43"/>
      <c r="E650" s="41"/>
      <c r="F650" s="41"/>
    </row>
    <row r="651">
      <c r="A651" s="41"/>
      <c r="B651" s="14"/>
      <c r="C651" s="41"/>
      <c r="D651" s="43"/>
      <c r="E651" s="41"/>
      <c r="F651" s="41"/>
    </row>
    <row r="652">
      <c r="A652" s="41"/>
      <c r="B652" s="14"/>
      <c r="C652" s="41"/>
      <c r="D652" s="43"/>
      <c r="E652" s="41"/>
      <c r="F652" s="41"/>
    </row>
    <row r="653">
      <c r="A653" s="41"/>
      <c r="B653" s="14"/>
      <c r="C653" s="41"/>
      <c r="D653" s="43"/>
      <c r="E653" s="41"/>
      <c r="F653" s="41"/>
    </row>
    <row r="654">
      <c r="A654" s="41"/>
      <c r="B654" s="14"/>
      <c r="C654" s="41"/>
      <c r="D654" s="43"/>
      <c r="E654" s="41"/>
      <c r="F654" s="41"/>
    </row>
    <row r="655">
      <c r="A655" s="41"/>
      <c r="B655" s="14"/>
      <c r="C655" s="41"/>
      <c r="D655" s="43"/>
      <c r="E655" s="41"/>
      <c r="F655" s="41"/>
    </row>
    <row r="656">
      <c r="A656" s="41"/>
      <c r="B656" s="14"/>
      <c r="C656" s="41"/>
      <c r="D656" s="43"/>
      <c r="E656" s="41"/>
      <c r="F656" s="41"/>
    </row>
    <row r="657">
      <c r="A657" s="41"/>
      <c r="B657" s="14"/>
      <c r="C657" s="41"/>
      <c r="D657" s="43"/>
      <c r="E657" s="41"/>
      <c r="F657" s="41"/>
    </row>
    <row r="658">
      <c r="A658" s="41"/>
      <c r="B658" s="14"/>
      <c r="C658" s="41"/>
      <c r="D658" s="43"/>
      <c r="E658" s="41"/>
      <c r="F658" s="41"/>
    </row>
    <row r="659">
      <c r="A659" s="41"/>
      <c r="B659" s="14"/>
      <c r="C659" s="41"/>
      <c r="D659" s="43"/>
      <c r="E659" s="41"/>
      <c r="F659" s="41"/>
    </row>
    <row r="660">
      <c r="A660" s="41"/>
      <c r="B660" s="14"/>
      <c r="C660" s="41"/>
      <c r="D660" s="43"/>
      <c r="E660" s="41"/>
      <c r="F660" s="41"/>
    </row>
    <row r="661">
      <c r="A661" s="41"/>
      <c r="B661" s="14"/>
      <c r="C661" s="41"/>
      <c r="D661" s="43"/>
      <c r="E661" s="41"/>
      <c r="F661" s="41"/>
    </row>
    <row r="662">
      <c r="A662" s="41"/>
      <c r="B662" s="14"/>
      <c r="C662" s="41"/>
      <c r="D662" s="43"/>
      <c r="E662" s="41"/>
      <c r="F662" s="41"/>
    </row>
    <row r="663">
      <c r="A663" s="41"/>
      <c r="B663" s="14"/>
      <c r="C663" s="41"/>
      <c r="D663" s="43"/>
      <c r="E663" s="41"/>
      <c r="F663" s="41"/>
    </row>
    <row r="664">
      <c r="A664" s="41"/>
      <c r="B664" s="14"/>
      <c r="C664" s="41"/>
      <c r="D664" s="43"/>
      <c r="E664" s="41"/>
      <c r="F664" s="41"/>
    </row>
    <row r="665">
      <c r="A665" s="41"/>
      <c r="B665" s="14"/>
      <c r="C665" s="41"/>
      <c r="D665" s="43"/>
      <c r="E665" s="41"/>
      <c r="F665" s="41"/>
    </row>
    <row r="666">
      <c r="A666" s="41"/>
      <c r="B666" s="14"/>
      <c r="C666" s="41"/>
      <c r="D666" s="43"/>
      <c r="E666" s="41"/>
      <c r="F666" s="41"/>
    </row>
    <row r="667">
      <c r="A667" s="41"/>
      <c r="B667" s="14"/>
      <c r="C667" s="41"/>
      <c r="D667" s="43"/>
      <c r="E667" s="41"/>
      <c r="F667" s="41"/>
    </row>
    <row r="668">
      <c r="A668" s="41"/>
      <c r="B668" s="14"/>
      <c r="C668" s="41"/>
      <c r="D668" s="43"/>
      <c r="E668" s="41"/>
      <c r="F668" s="41"/>
    </row>
    <row r="669">
      <c r="A669" s="41"/>
      <c r="B669" s="14"/>
      <c r="C669" s="41"/>
      <c r="D669" s="43"/>
      <c r="E669" s="41"/>
      <c r="F669" s="41"/>
    </row>
    <row r="670">
      <c r="A670" s="41"/>
      <c r="B670" s="14"/>
      <c r="C670" s="41"/>
      <c r="D670" s="43"/>
      <c r="E670" s="41"/>
      <c r="F670" s="41"/>
    </row>
    <row r="671">
      <c r="A671" s="41"/>
      <c r="B671" s="14"/>
      <c r="C671" s="41"/>
      <c r="D671" s="43"/>
      <c r="E671" s="41"/>
      <c r="F671" s="41"/>
    </row>
    <row r="672">
      <c r="A672" s="41"/>
      <c r="B672" s="14"/>
      <c r="C672" s="41"/>
      <c r="D672" s="43"/>
      <c r="E672" s="41"/>
      <c r="F672" s="41"/>
    </row>
    <row r="673">
      <c r="A673" s="41"/>
      <c r="B673" s="14"/>
      <c r="C673" s="41"/>
      <c r="D673" s="43"/>
      <c r="E673" s="41"/>
      <c r="F673" s="41"/>
    </row>
    <row r="674">
      <c r="A674" s="41"/>
      <c r="B674" s="14"/>
      <c r="C674" s="41"/>
      <c r="D674" s="43"/>
      <c r="E674" s="41"/>
      <c r="F674" s="41"/>
    </row>
    <row r="675">
      <c r="A675" s="41"/>
      <c r="B675" s="14"/>
      <c r="C675" s="41"/>
      <c r="D675" s="43"/>
      <c r="E675" s="41"/>
      <c r="F675" s="41"/>
    </row>
    <row r="676">
      <c r="A676" s="41"/>
      <c r="B676" s="14"/>
      <c r="C676" s="41"/>
      <c r="D676" s="43"/>
      <c r="E676" s="41"/>
      <c r="F676" s="41"/>
    </row>
    <row r="677">
      <c r="A677" s="41"/>
      <c r="B677" s="14"/>
      <c r="C677" s="41"/>
      <c r="D677" s="43"/>
      <c r="E677" s="41"/>
      <c r="F677" s="41"/>
    </row>
    <row r="678">
      <c r="A678" s="41"/>
      <c r="B678" s="14"/>
      <c r="C678" s="41"/>
      <c r="D678" s="43"/>
      <c r="E678" s="41"/>
      <c r="F678" s="41"/>
    </row>
    <row r="679">
      <c r="A679" s="41"/>
      <c r="B679" s="14"/>
      <c r="C679" s="41"/>
      <c r="D679" s="43"/>
      <c r="E679" s="41"/>
      <c r="F679" s="41"/>
    </row>
    <row r="680">
      <c r="A680" s="41"/>
      <c r="B680" s="14"/>
      <c r="C680" s="41"/>
      <c r="D680" s="43"/>
      <c r="E680" s="41"/>
      <c r="F680" s="41"/>
    </row>
    <row r="681">
      <c r="A681" s="41"/>
      <c r="B681" s="14"/>
      <c r="C681" s="41"/>
      <c r="D681" s="43"/>
      <c r="E681" s="41"/>
      <c r="F681" s="41"/>
    </row>
    <row r="682">
      <c r="A682" s="41"/>
      <c r="B682" s="14"/>
      <c r="C682" s="41"/>
      <c r="D682" s="43"/>
      <c r="E682" s="41"/>
      <c r="F682" s="41"/>
    </row>
    <row r="683">
      <c r="A683" s="41"/>
      <c r="B683" s="14"/>
      <c r="C683" s="41"/>
      <c r="D683" s="43"/>
      <c r="E683" s="41"/>
      <c r="F683" s="41"/>
    </row>
    <row r="684">
      <c r="A684" s="41"/>
      <c r="B684" s="14"/>
      <c r="C684" s="41"/>
      <c r="D684" s="43"/>
      <c r="E684" s="41"/>
      <c r="F684" s="41"/>
    </row>
    <row r="685">
      <c r="A685" s="41"/>
      <c r="B685" s="14"/>
      <c r="C685" s="41"/>
      <c r="D685" s="43"/>
      <c r="E685" s="41"/>
      <c r="F685" s="41"/>
    </row>
    <row r="686">
      <c r="A686" s="41"/>
      <c r="B686" s="14"/>
      <c r="C686" s="41"/>
      <c r="D686" s="43"/>
      <c r="E686" s="41"/>
      <c r="F686" s="41"/>
    </row>
    <row r="687">
      <c r="A687" s="41"/>
      <c r="B687" s="14"/>
      <c r="C687" s="41"/>
      <c r="D687" s="43"/>
      <c r="E687" s="41"/>
      <c r="F687" s="41"/>
    </row>
    <row r="688">
      <c r="A688" s="41"/>
      <c r="B688" s="14"/>
      <c r="C688" s="41"/>
      <c r="D688" s="43"/>
      <c r="E688" s="41"/>
      <c r="F688" s="41"/>
    </row>
    <row r="689">
      <c r="A689" s="41"/>
      <c r="B689" s="14"/>
      <c r="C689" s="41"/>
      <c r="D689" s="43"/>
      <c r="E689" s="41"/>
      <c r="F689" s="41"/>
    </row>
    <row r="690">
      <c r="A690" s="41"/>
      <c r="B690" s="14"/>
      <c r="C690" s="41"/>
      <c r="D690" s="43"/>
      <c r="E690" s="41"/>
      <c r="F690" s="41"/>
    </row>
    <row r="691">
      <c r="A691" s="41"/>
      <c r="B691" s="14"/>
      <c r="C691" s="41"/>
      <c r="D691" s="43"/>
      <c r="E691" s="41"/>
      <c r="F691" s="41"/>
    </row>
    <row r="692">
      <c r="A692" s="41"/>
      <c r="B692" s="14"/>
      <c r="C692" s="41"/>
      <c r="D692" s="43"/>
      <c r="E692" s="41"/>
      <c r="F692" s="41"/>
    </row>
    <row r="693">
      <c r="A693" s="41"/>
      <c r="B693" s="14"/>
      <c r="C693" s="41"/>
      <c r="D693" s="43"/>
      <c r="E693" s="41"/>
      <c r="F693" s="41"/>
    </row>
    <row r="694">
      <c r="A694" s="41"/>
      <c r="B694" s="14"/>
      <c r="C694" s="41"/>
      <c r="D694" s="43"/>
      <c r="E694" s="41"/>
      <c r="F694" s="41"/>
    </row>
    <row r="695">
      <c r="A695" s="41"/>
      <c r="B695" s="14"/>
      <c r="C695" s="41"/>
      <c r="D695" s="43"/>
      <c r="E695" s="41"/>
      <c r="F695" s="41"/>
    </row>
    <row r="696">
      <c r="A696" s="41"/>
      <c r="B696" s="14"/>
      <c r="C696" s="41"/>
      <c r="D696" s="43"/>
      <c r="E696" s="41"/>
      <c r="F696" s="41"/>
    </row>
    <row r="697">
      <c r="A697" s="41"/>
      <c r="B697" s="14"/>
      <c r="C697" s="41"/>
      <c r="D697" s="43"/>
      <c r="E697" s="41"/>
      <c r="F697" s="41"/>
    </row>
    <row r="698">
      <c r="A698" s="41"/>
      <c r="B698" s="14"/>
      <c r="C698" s="41"/>
      <c r="D698" s="43"/>
      <c r="E698" s="41"/>
      <c r="F698" s="41"/>
    </row>
    <row r="699">
      <c r="A699" s="41"/>
      <c r="B699" s="14"/>
      <c r="C699" s="41"/>
      <c r="D699" s="43"/>
      <c r="E699" s="41"/>
      <c r="F699" s="41"/>
    </row>
    <row r="700">
      <c r="A700" s="41"/>
      <c r="B700" s="14"/>
      <c r="C700" s="41"/>
      <c r="D700" s="43"/>
      <c r="E700" s="41"/>
      <c r="F700" s="41"/>
    </row>
    <row r="701">
      <c r="A701" s="41"/>
      <c r="B701" s="14"/>
      <c r="C701" s="41"/>
      <c r="D701" s="43"/>
      <c r="E701" s="41"/>
      <c r="F701" s="41"/>
    </row>
    <row r="702">
      <c r="A702" s="41"/>
      <c r="B702" s="14"/>
      <c r="C702" s="41"/>
      <c r="D702" s="43"/>
      <c r="E702" s="41"/>
      <c r="F702" s="41"/>
    </row>
    <row r="703">
      <c r="A703" s="41"/>
      <c r="B703" s="14"/>
      <c r="C703" s="41"/>
      <c r="D703" s="43"/>
      <c r="E703" s="41"/>
      <c r="F703" s="41"/>
    </row>
    <row r="704">
      <c r="A704" s="41"/>
      <c r="B704" s="14"/>
      <c r="C704" s="41"/>
      <c r="D704" s="43"/>
      <c r="E704" s="41"/>
      <c r="F704" s="41"/>
    </row>
    <row r="705">
      <c r="A705" s="41"/>
      <c r="B705" s="14"/>
      <c r="C705" s="41"/>
      <c r="D705" s="43"/>
      <c r="E705" s="41"/>
      <c r="F705" s="41"/>
    </row>
    <row r="706">
      <c r="A706" s="41"/>
      <c r="B706" s="14"/>
      <c r="C706" s="41"/>
      <c r="D706" s="43"/>
      <c r="E706" s="41"/>
      <c r="F706" s="41"/>
    </row>
    <row r="707">
      <c r="A707" s="41"/>
      <c r="B707" s="14"/>
      <c r="C707" s="41"/>
      <c r="D707" s="43"/>
      <c r="E707" s="41"/>
      <c r="F707" s="41"/>
    </row>
    <row r="708">
      <c r="A708" s="41"/>
      <c r="B708" s="14"/>
      <c r="C708" s="41"/>
      <c r="D708" s="43"/>
      <c r="E708" s="41"/>
      <c r="F708" s="41"/>
    </row>
    <row r="709">
      <c r="A709" s="41"/>
      <c r="B709" s="14"/>
      <c r="C709" s="41"/>
      <c r="D709" s="43"/>
      <c r="E709" s="41"/>
      <c r="F709" s="41"/>
    </row>
    <row r="710">
      <c r="A710" s="41"/>
      <c r="B710" s="14"/>
      <c r="C710" s="41"/>
      <c r="D710" s="43"/>
      <c r="E710" s="41"/>
      <c r="F710" s="41"/>
    </row>
    <row r="711">
      <c r="A711" s="41"/>
      <c r="B711" s="14"/>
      <c r="C711" s="41"/>
      <c r="D711" s="43"/>
      <c r="E711" s="41"/>
      <c r="F711" s="41"/>
    </row>
    <row r="712">
      <c r="A712" s="41"/>
      <c r="B712" s="14"/>
      <c r="C712" s="41"/>
      <c r="D712" s="43"/>
      <c r="E712" s="41"/>
      <c r="F712" s="41"/>
    </row>
    <row r="713">
      <c r="A713" s="41"/>
      <c r="B713" s="14"/>
      <c r="C713" s="41"/>
      <c r="D713" s="43"/>
      <c r="E713" s="41"/>
      <c r="F713" s="41"/>
    </row>
    <row r="714">
      <c r="A714" s="41"/>
      <c r="B714" s="14"/>
      <c r="C714" s="41"/>
      <c r="D714" s="43"/>
      <c r="E714" s="41"/>
      <c r="F714" s="41"/>
    </row>
    <row r="715">
      <c r="A715" s="41"/>
      <c r="B715" s="14"/>
      <c r="C715" s="41"/>
      <c r="D715" s="43"/>
      <c r="E715" s="41"/>
      <c r="F715" s="41"/>
    </row>
    <row r="716">
      <c r="A716" s="41"/>
      <c r="B716" s="14"/>
      <c r="C716" s="41"/>
      <c r="D716" s="43"/>
      <c r="E716" s="41"/>
      <c r="F716" s="41"/>
    </row>
    <row r="717">
      <c r="A717" s="41"/>
      <c r="B717" s="14"/>
      <c r="C717" s="41"/>
      <c r="D717" s="43"/>
      <c r="E717" s="41"/>
      <c r="F717" s="41"/>
    </row>
    <row r="718">
      <c r="A718" s="41"/>
      <c r="B718" s="14"/>
      <c r="C718" s="41"/>
      <c r="D718" s="43"/>
      <c r="E718" s="41"/>
      <c r="F718" s="41"/>
    </row>
    <row r="719">
      <c r="A719" s="41"/>
      <c r="B719" s="14"/>
      <c r="C719" s="41"/>
      <c r="D719" s="43"/>
      <c r="E719" s="41"/>
      <c r="F719" s="41"/>
    </row>
    <row r="720">
      <c r="A720" s="41"/>
      <c r="B720" s="14"/>
      <c r="C720" s="41"/>
      <c r="D720" s="43"/>
      <c r="E720" s="41"/>
      <c r="F720" s="41"/>
    </row>
    <row r="721">
      <c r="A721" s="41"/>
      <c r="B721" s="14"/>
      <c r="C721" s="41"/>
      <c r="D721" s="43"/>
      <c r="E721" s="41"/>
      <c r="F721" s="41"/>
    </row>
    <row r="722">
      <c r="A722" s="41"/>
      <c r="B722" s="14"/>
      <c r="C722" s="41"/>
      <c r="D722" s="43"/>
      <c r="E722" s="41"/>
      <c r="F722" s="41"/>
    </row>
    <row r="723">
      <c r="A723" s="41"/>
      <c r="B723" s="14"/>
      <c r="C723" s="41"/>
      <c r="D723" s="43"/>
      <c r="E723" s="41"/>
      <c r="F723" s="41"/>
    </row>
    <row r="724">
      <c r="A724" s="41"/>
      <c r="B724" s="14"/>
      <c r="C724" s="41"/>
      <c r="D724" s="43"/>
      <c r="E724" s="41"/>
      <c r="F724" s="41"/>
    </row>
    <row r="725">
      <c r="A725" s="41"/>
      <c r="B725" s="14"/>
      <c r="C725" s="41"/>
      <c r="D725" s="43"/>
      <c r="E725" s="41"/>
      <c r="F725" s="41"/>
    </row>
    <row r="726">
      <c r="A726" s="41"/>
      <c r="B726" s="14"/>
      <c r="C726" s="41"/>
      <c r="D726" s="43"/>
      <c r="E726" s="41"/>
      <c r="F726" s="41"/>
    </row>
    <row r="727">
      <c r="A727" s="41"/>
      <c r="B727" s="14"/>
      <c r="C727" s="41"/>
      <c r="D727" s="43"/>
      <c r="E727" s="41"/>
      <c r="F727" s="41"/>
    </row>
    <row r="728">
      <c r="A728" s="41"/>
      <c r="B728" s="14"/>
      <c r="C728" s="41"/>
      <c r="D728" s="43"/>
      <c r="E728" s="41"/>
      <c r="F728" s="41"/>
    </row>
    <row r="729">
      <c r="A729" s="41"/>
      <c r="B729" s="14"/>
      <c r="C729" s="41"/>
      <c r="D729" s="43"/>
      <c r="E729" s="41"/>
      <c r="F729" s="41"/>
    </row>
    <row r="730">
      <c r="A730" s="41"/>
      <c r="B730" s="14"/>
      <c r="C730" s="41"/>
      <c r="D730" s="43"/>
      <c r="E730" s="41"/>
      <c r="F730" s="41"/>
    </row>
    <row r="731">
      <c r="A731" s="41"/>
      <c r="B731" s="14"/>
      <c r="C731" s="41"/>
      <c r="D731" s="43"/>
      <c r="E731" s="41"/>
      <c r="F731" s="41"/>
    </row>
    <row r="732">
      <c r="A732" s="41"/>
      <c r="B732" s="14"/>
      <c r="C732" s="41"/>
      <c r="D732" s="43"/>
      <c r="E732" s="41"/>
      <c r="F732" s="41"/>
    </row>
    <row r="733">
      <c r="A733" s="41"/>
      <c r="B733" s="14"/>
      <c r="C733" s="41"/>
      <c r="D733" s="43"/>
      <c r="E733" s="41"/>
      <c r="F733" s="41"/>
    </row>
    <row r="734">
      <c r="A734" s="41"/>
      <c r="B734" s="14"/>
      <c r="C734" s="41"/>
      <c r="D734" s="43"/>
      <c r="E734" s="41"/>
      <c r="F734" s="41"/>
    </row>
    <row r="735">
      <c r="A735" s="41"/>
      <c r="B735" s="14"/>
      <c r="C735" s="41"/>
      <c r="D735" s="43"/>
      <c r="E735" s="41"/>
      <c r="F735" s="41"/>
    </row>
    <row r="736">
      <c r="A736" s="41"/>
      <c r="B736" s="14"/>
      <c r="C736" s="41"/>
      <c r="D736" s="43"/>
      <c r="E736" s="41"/>
      <c r="F736" s="41"/>
    </row>
    <row r="737">
      <c r="A737" s="41"/>
      <c r="B737" s="14"/>
      <c r="C737" s="41"/>
      <c r="D737" s="43"/>
      <c r="E737" s="41"/>
      <c r="F737" s="41"/>
    </row>
    <row r="738">
      <c r="A738" s="41"/>
      <c r="B738" s="14"/>
      <c r="C738" s="41"/>
      <c r="D738" s="43"/>
      <c r="E738" s="41"/>
      <c r="F738" s="41"/>
    </row>
    <row r="739">
      <c r="A739" s="41"/>
      <c r="B739" s="14"/>
      <c r="C739" s="41"/>
      <c r="D739" s="43"/>
      <c r="E739" s="41"/>
      <c r="F739" s="41"/>
    </row>
    <row r="740">
      <c r="A740" s="41"/>
      <c r="B740" s="14"/>
      <c r="C740" s="41"/>
      <c r="D740" s="43"/>
      <c r="E740" s="41"/>
      <c r="F740" s="41"/>
    </row>
    <row r="741">
      <c r="A741" s="41"/>
      <c r="B741" s="14"/>
      <c r="C741" s="41"/>
      <c r="D741" s="43"/>
      <c r="E741" s="41"/>
      <c r="F741" s="41"/>
    </row>
    <row r="742">
      <c r="A742" s="41"/>
      <c r="B742" s="14"/>
      <c r="C742" s="41"/>
      <c r="D742" s="43"/>
      <c r="E742" s="41"/>
      <c r="F742" s="41"/>
    </row>
    <row r="743">
      <c r="A743" s="41"/>
      <c r="B743" s="14"/>
      <c r="C743" s="41"/>
      <c r="D743" s="43"/>
      <c r="E743" s="41"/>
      <c r="F743" s="41"/>
    </row>
    <row r="744">
      <c r="A744" s="41"/>
      <c r="B744" s="14"/>
      <c r="C744" s="41"/>
      <c r="D744" s="43"/>
      <c r="E744" s="41"/>
      <c r="F744" s="41"/>
    </row>
    <row r="745">
      <c r="A745" s="41"/>
      <c r="B745" s="14"/>
      <c r="C745" s="41"/>
      <c r="D745" s="43"/>
      <c r="E745" s="41"/>
      <c r="F745" s="41"/>
    </row>
    <row r="746">
      <c r="A746" s="41"/>
      <c r="B746" s="14"/>
      <c r="C746" s="41"/>
      <c r="D746" s="43"/>
      <c r="E746" s="41"/>
      <c r="F746" s="41"/>
    </row>
    <row r="747">
      <c r="A747" s="41"/>
      <c r="B747" s="14"/>
      <c r="C747" s="41"/>
      <c r="D747" s="43"/>
      <c r="E747" s="41"/>
      <c r="F747" s="41"/>
    </row>
    <row r="748">
      <c r="A748" s="41"/>
      <c r="B748" s="14"/>
      <c r="C748" s="41"/>
      <c r="D748" s="43"/>
      <c r="E748" s="41"/>
      <c r="F748" s="41"/>
    </row>
    <row r="749">
      <c r="A749" s="41"/>
      <c r="B749" s="14"/>
      <c r="C749" s="41"/>
      <c r="D749" s="43"/>
      <c r="E749" s="41"/>
      <c r="F749" s="41"/>
    </row>
    <row r="750">
      <c r="A750" s="41"/>
      <c r="B750" s="14"/>
      <c r="C750" s="41"/>
      <c r="D750" s="43"/>
      <c r="E750" s="41"/>
      <c r="F750" s="41"/>
    </row>
    <row r="751">
      <c r="A751" s="41"/>
      <c r="B751" s="14"/>
      <c r="C751" s="41"/>
      <c r="D751" s="43"/>
      <c r="E751" s="41"/>
      <c r="F751" s="41"/>
    </row>
    <row r="752">
      <c r="A752" s="41"/>
      <c r="B752" s="14"/>
      <c r="C752" s="41"/>
      <c r="D752" s="43"/>
      <c r="E752" s="41"/>
      <c r="F752" s="41"/>
    </row>
    <row r="753">
      <c r="A753" s="41"/>
      <c r="B753" s="14"/>
      <c r="C753" s="41"/>
      <c r="D753" s="43"/>
      <c r="E753" s="41"/>
      <c r="F753" s="41"/>
    </row>
    <row r="754">
      <c r="A754" s="41"/>
      <c r="B754" s="14"/>
      <c r="C754" s="41"/>
      <c r="D754" s="43"/>
      <c r="E754" s="41"/>
      <c r="F754" s="41"/>
    </row>
    <row r="755">
      <c r="A755" s="41"/>
      <c r="B755" s="14"/>
      <c r="C755" s="41"/>
      <c r="D755" s="43"/>
      <c r="E755" s="41"/>
      <c r="F755" s="41"/>
    </row>
    <row r="756">
      <c r="A756" s="41"/>
      <c r="B756" s="14"/>
      <c r="C756" s="41"/>
      <c r="D756" s="43"/>
      <c r="E756" s="41"/>
      <c r="F756" s="41"/>
    </row>
    <row r="757">
      <c r="A757" s="41"/>
      <c r="B757" s="14"/>
      <c r="C757" s="41"/>
      <c r="D757" s="43"/>
      <c r="E757" s="41"/>
      <c r="F757" s="41"/>
    </row>
    <row r="758">
      <c r="A758" s="41"/>
      <c r="B758" s="14"/>
      <c r="C758" s="41"/>
      <c r="D758" s="43"/>
      <c r="E758" s="41"/>
      <c r="F758" s="41"/>
    </row>
    <row r="759">
      <c r="A759" s="41"/>
      <c r="B759" s="14"/>
      <c r="C759" s="41"/>
      <c r="D759" s="43"/>
      <c r="E759" s="41"/>
      <c r="F759" s="41"/>
    </row>
    <row r="760">
      <c r="A760" s="41"/>
      <c r="B760" s="14"/>
      <c r="C760" s="41"/>
      <c r="D760" s="43"/>
      <c r="E760" s="41"/>
      <c r="F760" s="41"/>
    </row>
    <row r="761">
      <c r="A761" s="41"/>
      <c r="B761" s="14"/>
      <c r="C761" s="41"/>
      <c r="D761" s="43"/>
      <c r="E761" s="41"/>
      <c r="F761" s="41"/>
    </row>
    <row r="762">
      <c r="A762" s="41"/>
      <c r="B762" s="14"/>
      <c r="C762" s="41"/>
      <c r="D762" s="43"/>
      <c r="E762" s="41"/>
      <c r="F762" s="41"/>
    </row>
    <row r="763">
      <c r="A763" s="41"/>
      <c r="B763" s="14"/>
      <c r="C763" s="41"/>
      <c r="D763" s="43"/>
      <c r="E763" s="41"/>
      <c r="F763" s="41"/>
    </row>
    <row r="764">
      <c r="A764" s="41"/>
      <c r="B764" s="14"/>
      <c r="C764" s="41"/>
      <c r="D764" s="43"/>
      <c r="E764" s="41"/>
      <c r="F764" s="41"/>
    </row>
    <row r="765">
      <c r="A765" s="41"/>
      <c r="B765" s="14"/>
      <c r="C765" s="41"/>
      <c r="D765" s="43"/>
      <c r="E765" s="41"/>
      <c r="F765" s="41"/>
    </row>
    <row r="766">
      <c r="A766" s="41"/>
      <c r="B766" s="14"/>
      <c r="C766" s="41"/>
      <c r="D766" s="43"/>
      <c r="E766" s="41"/>
      <c r="F766" s="41"/>
    </row>
    <row r="767">
      <c r="A767" s="41"/>
      <c r="B767" s="14"/>
      <c r="C767" s="41"/>
      <c r="D767" s="43"/>
      <c r="E767" s="41"/>
      <c r="F767" s="41"/>
    </row>
    <row r="768">
      <c r="A768" s="41"/>
      <c r="B768" s="14"/>
      <c r="C768" s="41"/>
      <c r="D768" s="43"/>
      <c r="E768" s="41"/>
      <c r="F768" s="41"/>
    </row>
    <row r="769">
      <c r="A769" s="41"/>
      <c r="B769" s="14"/>
      <c r="C769" s="41"/>
      <c r="D769" s="43"/>
      <c r="E769" s="41"/>
      <c r="F769" s="41"/>
    </row>
    <row r="770">
      <c r="A770" s="41"/>
      <c r="B770" s="14"/>
      <c r="C770" s="41"/>
      <c r="D770" s="43"/>
      <c r="E770" s="41"/>
      <c r="F770" s="41"/>
    </row>
    <row r="771">
      <c r="A771" s="41"/>
      <c r="B771" s="14"/>
      <c r="C771" s="41"/>
      <c r="D771" s="43"/>
      <c r="E771" s="41"/>
      <c r="F771" s="41"/>
    </row>
    <row r="772">
      <c r="A772" s="41"/>
      <c r="B772" s="14"/>
      <c r="C772" s="41"/>
      <c r="D772" s="43"/>
      <c r="E772" s="41"/>
      <c r="F772" s="41"/>
    </row>
    <row r="773">
      <c r="A773" s="41"/>
      <c r="B773" s="14"/>
      <c r="C773" s="41"/>
      <c r="D773" s="43"/>
      <c r="E773" s="41"/>
      <c r="F773" s="41"/>
    </row>
    <row r="774">
      <c r="A774" s="41"/>
      <c r="B774" s="14"/>
      <c r="C774" s="41"/>
      <c r="D774" s="43"/>
      <c r="E774" s="41"/>
      <c r="F774" s="41"/>
    </row>
    <row r="775">
      <c r="A775" s="41"/>
      <c r="B775" s="14"/>
      <c r="C775" s="41"/>
      <c r="D775" s="43"/>
      <c r="E775" s="41"/>
      <c r="F775" s="41"/>
    </row>
    <row r="776">
      <c r="A776" s="41"/>
      <c r="B776" s="14"/>
      <c r="C776" s="41"/>
      <c r="D776" s="43"/>
      <c r="E776" s="41"/>
      <c r="F776" s="41"/>
    </row>
    <row r="777">
      <c r="A777" s="41"/>
      <c r="B777" s="14"/>
      <c r="C777" s="41"/>
      <c r="D777" s="43"/>
      <c r="E777" s="41"/>
      <c r="F777" s="41"/>
    </row>
    <row r="778">
      <c r="A778" s="41"/>
      <c r="B778" s="14"/>
      <c r="C778" s="41"/>
      <c r="D778" s="43"/>
      <c r="E778" s="41"/>
      <c r="F778" s="41"/>
    </row>
    <row r="779">
      <c r="A779" s="41"/>
      <c r="B779" s="14"/>
      <c r="C779" s="41"/>
      <c r="D779" s="43"/>
      <c r="E779" s="41"/>
      <c r="F779" s="41"/>
    </row>
    <row r="780">
      <c r="A780" s="41"/>
      <c r="B780" s="14"/>
      <c r="C780" s="41"/>
      <c r="D780" s="43"/>
      <c r="E780" s="41"/>
      <c r="F780" s="41"/>
    </row>
    <row r="781">
      <c r="A781" s="41"/>
      <c r="B781" s="14"/>
      <c r="C781" s="41"/>
      <c r="D781" s="43"/>
      <c r="E781" s="41"/>
      <c r="F781" s="41"/>
    </row>
    <row r="782">
      <c r="A782" s="41"/>
      <c r="B782" s="14"/>
      <c r="C782" s="41"/>
      <c r="D782" s="43"/>
      <c r="E782" s="41"/>
      <c r="F782" s="41"/>
    </row>
    <row r="783">
      <c r="A783" s="41"/>
      <c r="B783" s="14"/>
      <c r="C783" s="41"/>
      <c r="D783" s="43"/>
      <c r="E783" s="41"/>
      <c r="F783" s="41"/>
    </row>
    <row r="784">
      <c r="A784" s="41"/>
      <c r="B784" s="14"/>
      <c r="C784" s="41"/>
      <c r="D784" s="43"/>
      <c r="E784" s="41"/>
      <c r="F784" s="41"/>
    </row>
    <row r="785">
      <c r="A785" s="41"/>
      <c r="B785" s="14"/>
      <c r="C785" s="41"/>
      <c r="D785" s="43"/>
      <c r="E785" s="41"/>
      <c r="F785" s="41"/>
    </row>
    <row r="786">
      <c r="A786" s="41"/>
      <c r="B786" s="14"/>
      <c r="C786" s="41"/>
      <c r="D786" s="43"/>
      <c r="E786" s="41"/>
      <c r="F786" s="41"/>
    </row>
    <row r="787">
      <c r="A787" s="41"/>
      <c r="B787" s="14"/>
      <c r="C787" s="41"/>
      <c r="D787" s="43"/>
      <c r="E787" s="41"/>
      <c r="F787" s="41"/>
    </row>
    <row r="788">
      <c r="A788" s="41"/>
      <c r="B788" s="14"/>
      <c r="C788" s="41"/>
      <c r="D788" s="43"/>
      <c r="E788" s="41"/>
      <c r="F788" s="41"/>
    </row>
    <row r="789">
      <c r="A789" s="41"/>
      <c r="B789" s="14"/>
      <c r="C789" s="41"/>
      <c r="D789" s="43"/>
      <c r="E789" s="41"/>
      <c r="F789" s="41"/>
    </row>
    <row r="790">
      <c r="A790" s="41"/>
      <c r="B790" s="14"/>
      <c r="C790" s="41"/>
      <c r="D790" s="43"/>
      <c r="E790" s="41"/>
      <c r="F790" s="41"/>
    </row>
    <row r="791">
      <c r="A791" s="41"/>
      <c r="B791" s="14"/>
      <c r="C791" s="41"/>
      <c r="D791" s="43"/>
      <c r="E791" s="41"/>
      <c r="F791" s="41"/>
    </row>
    <row r="792">
      <c r="A792" s="41"/>
      <c r="B792" s="14"/>
      <c r="C792" s="41"/>
      <c r="D792" s="43"/>
      <c r="E792" s="41"/>
      <c r="F792" s="41"/>
    </row>
    <row r="793">
      <c r="A793" s="41"/>
      <c r="B793" s="14"/>
      <c r="C793" s="41"/>
      <c r="D793" s="43"/>
      <c r="E793" s="41"/>
      <c r="F793" s="41"/>
    </row>
    <row r="794">
      <c r="A794" s="41"/>
      <c r="B794" s="14"/>
      <c r="C794" s="41"/>
      <c r="D794" s="43"/>
      <c r="E794" s="41"/>
      <c r="F794" s="41"/>
    </row>
    <row r="795">
      <c r="A795" s="41"/>
      <c r="B795" s="14"/>
      <c r="C795" s="41"/>
      <c r="D795" s="43"/>
      <c r="E795" s="41"/>
      <c r="F795" s="41"/>
    </row>
    <row r="796">
      <c r="A796" s="41"/>
      <c r="B796" s="14"/>
      <c r="C796" s="41"/>
      <c r="D796" s="43"/>
      <c r="E796" s="41"/>
      <c r="F796" s="41"/>
    </row>
    <row r="797">
      <c r="A797" s="41"/>
      <c r="B797" s="14"/>
      <c r="C797" s="41"/>
      <c r="D797" s="43"/>
      <c r="E797" s="41"/>
      <c r="F797" s="41"/>
    </row>
    <row r="798">
      <c r="A798" s="41"/>
      <c r="B798" s="14"/>
      <c r="C798" s="41"/>
      <c r="D798" s="43"/>
      <c r="E798" s="41"/>
      <c r="F798" s="41"/>
    </row>
    <row r="799">
      <c r="A799" s="41"/>
      <c r="B799" s="14"/>
      <c r="C799" s="41"/>
      <c r="D799" s="43"/>
      <c r="E799" s="41"/>
      <c r="F799" s="41"/>
    </row>
    <row r="800">
      <c r="A800" s="41"/>
      <c r="B800" s="14"/>
      <c r="C800" s="41"/>
      <c r="D800" s="43"/>
      <c r="E800" s="41"/>
      <c r="F800" s="41"/>
    </row>
    <row r="801">
      <c r="A801" s="41"/>
      <c r="B801" s="14"/>
      <c r="C801" s="41"/>
      <c r="D801" s="43"/>
      <c r="E801" s="41"/>
      <c r="F801" s="41"/>
    </row>
    <row r="802">
      <c r="A802" s="41"/>
      <c r="B802" s="14"/>
      <c r="C802" s="41"/>
      <c r="D802" s="43"/>
      <c r="E802" s="41"/>
      <c r="F802" s="41"/>
    </row>
    <row r="803">
      <c r="A803" s="41"/>
      <c r="B803" s="14"/>
      <c r="C803" s="41"/>
      <c r="D803" s="43"/>
      <c r="E803" s="41"/>
      <c r="F803" s="41"/>
    </row>
    <row r="804">
      <c r="A804" s="41"/>
      <c r="B804" s="14"/>
      <c r="C804" s="41"/>
      <c r="D804" s="43"/>
      <c r="E804" s="41"/>
      <c r="F804" s="41"/>
    </row>
    <row r="805">
      <c r="A805" s="41"/>
      <c r="B805" s="14"/>
      <c r="C805" s="41"/>
      <c r="D805" s="43"/>
      <c r="E805" s="41"/>
      <c r="F805" s="41"/>
    </row>
    <row r="806">
      <c r="A806" s="41"/>
      <c r="B806" s="14"/>
      <c r="C806" s="41"/>
      <c r="D806" s="43"/>
      <c r="E806" s="41"/>
      <c r="F806" s="41"/>
    </row>
    <row r="807">
      <c r="A807" s="41"/>
      <c r="B807" s="14"/>
      <c r="C807" s="41"/>
      <c r="D807" s="43"/>
      <c r="E807" s="41"/>
      <c r="F807" s="41"/>
    </row>
    <row r="808">
      <c r="A808" s="41"/>
      <c r="B808" s="14"/>
      <c r="C808" s="41"/>
      <c r="D808" s="43"/>
      <c r="E808" s="41"/>
      <c r="F808" s="41"/>
    </row>
    <row r="809">
      <c r="A809" s="41"/>
      <c r="B809" s="14"/>
      <c r="C809" s="41"/>
      <c r="D809" s="43"/>
      <c r="E809" s="41"/>
      <c r="F809" s="41"/>
    </row>
    <row r="810">
      <c r="A810" s="41"/>
      <c r="B810" s="14"/>
      <c r="C810" s="41"/>
      <c r="D810" s="43"/>
      <c r="E810" s="41"/>
      <c r="F810" s="41"/>
    </row>
    <row r="811">
      <c r="A811" s="41"/>
      <c r="B811" s="14"/>
      <c r="C811" s="41"/>
      <c r="D811" s="43"/>
      <c r="E811" s="41"/>
      <c r="F811" s="41"/>
    </row>
    <row r="812">
      <c r="A812" s="41"/>
      <c r="B812" s="14"/>
      <c r="C812" s="41"/>
      <c r="D812" s="43"/>
      <c r="E812" s="41"/>
      <c r="F812" s="41"/>
    </row>
    <row r="813">
      <c r="A813" s="41"/>
      <c r="B813" s="14"/>
      <c r="C813" s="41"/>
      <c r="D813" s="43"/>
      <c r="E813" s="41"/>
      <c r="F813" s="41"/>
    </row>
    <row r="814">
      <c r="A814" s="41"/>
      <c r="B814" s="14"/>
      <c r="C814" s="41"/>
      <c r="D814" s="43"/>
      <c r="E814" s="41"/>
      <c r="F814" s="41"/>
    </row>
    <row r="815">
      <c r="A815" s="41"/>
      <c r="B815" s="14"/>
      <c r="C815" s="41"/>
      <c r="D815" s="43"/>
      <c r="E815" s="41"/>
      <c r="F815" s="41"/>
    </row>
    <row r="816">
      <c r="A816" s="41"/>
      <c r="B816" s="14"/>
      <c r="C816" s="41"/>
      <c r="D816" s="43"/>
      <c r="E816" s="41"/>
      <c r="F816" s="41"/>
    </row>
    <row r="817">
      <c r="A817" s="41"/>
      <c r="B817" s="14"/>
      <c r="C817" s="41"/>
      <c r="D817" s="43"/>
      <c r="E817" s="41"/>
      <c r="F817" s="41"/>
    </row>
    <row r="818">
      <c r="A818" s="41"/>
      <c r="B818" s="14"/>
      <c r="C818" s="41"/>
      <c r="D818" s="43"/>
      <c r="E818" s="41"/>
      <c r="F818" s="41"/>
    </row>
    <row r="819">
      <c r="A819" s="41"/>
      <c r="B819" s="14"/>
      <c r="C819" s="41"/>
      <c r="D819" s="43"/>
      <c r="E819" s="41"/>
      <c r="F819" s="41"/>
    </row>
    <row r="820">
      <c r="A820" s="41"/>
      <c r="B820" s="14"/>
      <c r="C820" s="41"/>
      <c r="D820" s="43"/>
      <c r="E820" s="41"/>
      <c r="F820" s="41"/>
    </row>
    <row r="821">
      <c r="A821" s="41"/>
      <c r="B821" s="14"/>
      <c r="C821" s="41"/>
      <c r="D821" s="43"/>
      <c r="E821" s="41"/>
      <c r="F821" s="41"/>
    </row>
    <row r="822">
      <c r="A822" s="41"/>
      <c r="B822" s="14"/>
      <c r="C822" s="41"/>
      <c r="D822" s="43"/>
      <c r="E822" s="41"/>
      <c r="F822" s="41"/>
    </row>
    <row r="823">
      <c r="A823" s="41"/>
      <c r="B823" s="14"/>
      <c r="C823" s="41"/>
      <c r="D823" s="43"/>
      <c r="E823" s="41"/>
      <c r="F823" s="41"/>
    </row>
    <row r="824">
      <c r="A824" s="41"/>
      <c r="B824" s="14"/>
      <c r="C824" s="41"/>
      <c r="D824" s="43"/>
      <c r="E824" s="41"/>
      <c r="F824" s="41"/>
    </row>
    <row r="825">
      <c r="A825" s="41"/>
      <c r="B825" s="14"/>
      <c r="C825" s="41"/>
      <c r="D825" s="43"/>
      <c r="E825" s="41"/>
      <c r="F825" s="41"/>
    </row>
    <row r="826">
      <c r="A826" s="41"/>
      <c r="B826" s="14"/>
      <c r="C826" s="41"/>
      <c r="D826" s="43"/>
      <c r="E826" s="41"/>
      <c r="F826" s="41"/>
    </row>
    <row r="827">
      <c r="A827" s="41"/>
      <c r="B827" s="14"/>
      <c r="C827" s="41"/>
      <c r="D827" s="43"/>
      <c r="E827" s="41"/>
      <c r="F827" s="41"/>
    </row>
    <row r="828">
      <c r="A828" s="41"/>
      <c r="B828" s="14"/>
      <c r="C828" s="41"/>
      <c r="D828" s="43"/>
      <c r="E828" s="41"/>
      <c r="F828" s="41"/>
    </row>
    <row r="829">
      <c r="A829" s="41"/>
      <c r="B829" s="14"/>
      <c r="C829" s="41"/>
      <c r="D829" s="43"/>
      <c r="E829" s="41"/>
      <c r="F829" s="41"/>
    </row>
    <row r="830">
      <c r="A830" s="41"/>
      <c r="B830" s="14"/>
      <c r="C830" s="41"/>
      <c r="D830" s="43"/>
      <c r="E830" s="41"/>
      <c r="F830" s="41"/>
    </row>
    <row r="831">
      <c r="A831" s="41"/>
      <c r="B831" s="14"/>
      <c r="C831" s="41"/>
      <c r="D831" s="43"/>
      <c r="E831" s="41"/>
      <c r="F831" s="41"/>
    </row>
    <row r="832">
      <c r="A832" s="41"/>
      <c r="B832" s="14"/>
      <c r="C832" s="41"/>
      <c r="D832" s="43"/>
      <c r="E832" s="41"/>
      <c r="F832" s="41"/>
    </row>
    <row r="833">
      <c r="A833" s="41"/>
      <c r="B833" s="14"/>
      <c r="C833" s="41"/>
      <c r="D833" s="43"/>
      <c r="E833" s="41"/>
      <c r="F833" s="41"/>
    </row>
    <row r="834">
      <c r="A834" s="41"/>
      <c r="B834" s="14"/>
      <c r="C834" s="41"/>
      <c r="D834" s="43"/>
      <c r="E834" s="41"/>
      <c r="F834" s="41"/>
    </row>
    <row r="835">
      <c r="A835" s="41"/>
      <c r="B835" s="14"/>
      <c r="C835" s="41"/>
      <c r="D835" s="43"/>
      <c r="E835" s="41"/>
      <c r="F835" s="41"/>
    </row>
    <row r="836">
      <c r="A836" s="41"/>
      <c r="B836" s="14"/>
      <c r="C836" s="41"/>
      <c r="D836" s="43"/>
      <c r="E836" s="41"/>
      <c r="F836" s="41"/>
    </row>
    <row r="837">
      <c r="A837" s="41"/>
      <c r="B837" s="14"/>
      <c r="C837" s="41"/>
      <c r="D837" s="43"/>
      <c r="E837" s="41"/>
      <c r="F837" s="41"/>
    </row>
    <row r="838">
      <c r="A838" s="41"/>
      <c r="B838" s="14"/>
      <c r="C838" s="41"/>
      <c r="D838" s="43"/>
      <c r="E838" s="41"/>
      <c r="F838" s="41"/>
    </row>
    <row r="839">
      <c r="A839" s="41"/>
      <c r="B839" s="14"/>
      <c r="C839" s="41"/>
      <c r="D839" s="43"/>
      <c r="E839" s="41"/>
      <c r="F839" s="41"/>
    </row>
    <row r="840">
      <c r="A840" s="41"/>
      <c r="B840" s="14"/>
      <c r="C840" s="41"/>
      <c r="D840" s="43"/>
      <c r="E840" s="41"/>
      <c r="F840" s="41"/>
    </row>
    <row r="841">
      <c r="A841" s="41"/>
      <c r="B841" s="14"/>
      <c r="C841" s="41"/>
      <c r="D841" s="43"/>
      <c r="E841" s="41"/>
      <c r="F841" s="41"/>
    </row>
    <row r="842">
      <c r="A842" s="41"/>
      <c r="B842" s="14"/>
      <c r="C842" s="41"/>
      <c r="D842" s="43"/>
      <c r="E842" s="41"/>
      <c r="F842" s="41"/>
    </row>
    <row r="843">
      <c r="A843" s="41"/>
      <c r="B843" s="14"/>
      <c r="C843" s="41"/>
      <c r="D843" s="43"/>
      <c r="E843" s="41"/>
      <c r="F843" s="41"/>
    </row>
    <row r="844">
      <c r="A844" s="41"/>
      <c r="B844" s="14"/>
      <c r="C844" s="41"/>
      <c r="D844" s="43"/>
      <c r="E844" s="41"/>
      <c r="F844" s="41"/>
    </row>
    <row r="845">
      <c r="A845" s="41"/>
      <c r="B845" s="14"/>
      <c r="C845" s="41"/>
      <c r="D845" s="43"/>
      <c r="E845" s="41"/>
      <c r="F845" s="41"/>
    </row>
    <row r="846">
      <c r="A846" s="41"/>
      <c r="B846" s="14"/>
      <c r="C846" s="41"/>
      <c r="D846" s="43"/>
      <c r="E846" s="41"/>
      <c r="F846" s="41"/>
    </row>
    <row r="847">
      <c r="A847" s="41"/>
      <c r="B847" s="14"/>
      <c r="C847" s="41"/>
      <c r="D847" s="43"/>
      <c r="E847" s="41"/>
      <c r="F847" s="41"/>
    </row>
    <row r="848">
      <c r="A848" s="41"/>
      <c r="B848" s="14"/>
      <c r="C848" s="41"/>
      <c r="D848" s="43"/>
      <c r="E848" s="41"/>
      <c r="F848" s="41"/>
    </row>
    <row r="849">
      <c r="A849" s="41"/>
      <c r="B849" s="14"/>
      <c r="C849" s="41"/>
      <c r="D849" s="43"/>
      <c r="E849" s="41"/>
      <c r="F849" s="41"/>
    </row>
    <row r="850">
      <c r="A850" s="41"/>
      <c r="B850" s="14"/>
      <c r="C850" s="41"/>
      <c r="D850" s="43"/>
      <c r="E850" s="41"/>
      <c r="F850" s="41"/>
    </row>
    <row r="851">
      <c r="A851" s="41"/>
      <c r="B851" s="14"/>
      <c r="C851" s="41"/>
      <c r="D851" s="43"/>
      <c r="E851" s="41"/>
      <c r="F851" s="41"/>
    </row>
    <row r="852">
      <c r="A852" s="41"/>
      <c r="B852" s="14"/>
      <c r="C852" s="41"/>
      <c r="D852" s="43"/>
      <c r="E852" s="41"/>
      <c r="F852" s="41"/>
    </row>
    <row r="853">
      <c r="A853" s="41"/>
      <c r="B853" s="14"/>
      <c r="C853" s="41"/>
      <c r="D853" s="43"/>
      <c r="E853" s="41"/>
      <c r="F853" s="41"/>
    </row>
    <row r="854">
      <c r="A854" s="41"/>
      <c r="B854" s="14"/>
      <c r="C854" s="41"/>
      <c r="D854" s="43"/>
      <c r="E854" s="41"/>
      <c r="F854" s="41"/>
    </row>
    <row r="855">
      <c r="A855" s="41"/>
      <c r="B855" s="14"/>
      <c r="C855" s="41"/>
      <c r="D855" s="43"/>
      <c r="E855" s="41"/>
      <c r="F855" s="41"/>
    </row>
    <row r="856">
      <c r="A856" s="41"/>
      <c r="B856" s="14"/>
      <c r="C856" s="41"/>
      <c r="D856" s="43"/>
      <c r="E856" s="41"/>
      <c r="F856" s="41"/>
    </row>
    <row r="857">
      <c r="A857" s="41"/>
      <c r="B857" s="14"/>
      <c r="C857" s="41"/>
      <c r="D857" s="43"/>
      <c r="E857" s="41"/>
      <c r="F857" s="41"/>
    </row>
    <row r="858">
      <c r="A858" s="41"/>
      <c r="B858" s="14"/>
      <c r="C858" s="41"/>
      <c r="D858" s="43"/>
      <c r="E858" s="41"/>
      <c r="F858" s="41"/>
    </row>
    <row r="859">
      <c r="A859" s="41"/>
      <c r="B859" s="14"/>
      <c r="C859" s="41"/>
      <c r="D859" s="43"/>
      <c r="E859" s="41"/>
      <c r="F859" s="41"/>
    </row>
    <row r="860">
      <c r="A860" s="41"/>
      <c r="B860" s="14"/>
      <c r="C860" s="41"/>
      <c r="D860" s="43"/>
      <c r="E860" s="41"/>
      <c r="F860" s="41"/>
    </row>
    <row r="861">
      <c r="A861" s="41"/>
      <c r="B861" s="14"/>
      <c r="C861" s="41"/>
      <c r="D861" s="43"/>
      <c r="E861" s="41"/>
      <c r="F861" s="41"/>
    </row>
    <row r="862">
      <c r="A862" s="41"/>
      <c r="B862" s="14"/>
      <c r="C862" s="41"/>
      <c r="D862" s="43"/>
      <c r="E862" s="41"/>
      <c r="F862" s="41"/>
    </row>
    <row r="863">
      <c r="A863" s="41"/>
      <c r="B863" s="14"/>
      <c r="C863" s="41"/>
      <c r="D863" s="43"/>
      <c r="E863" s="41"/>
      <c r="F863" s="41"/>
    </row>
    <row r="864">
      <c r="A864" s="41"/>
      <c r="B864" s="14"/>
      <c r="C864" s="41"/>
      <c r="D864" s="43"/>
      <c r="E864" s="41"/>
      <c r="F864" s="41"/>
    </row>
    <row r="865">
      <c r="A865" s="41"/>
      <c r="B865" s="14"/>
      <c r="C865" s="41"/>
      <c r="D865" s="43"/>
      <c r="E865" s="41"/>
      <c r="F865" s="41"/>
    </row>
    <row r="866">
      <c r="A866" s="41"/>
      <c r="B866" s="14"/>
      <c r="C866" s="41"/>
      <c r="D866" s="43"/>
      <c r="E866" s="41"/>
      <c r="F866" s="41"/>
    </row>
    <row r="867">
      <c r="A867" s="41"/>
      <c r="B867" s="14"/>
      <c r="C867" s="41"/>
      <c r="D867" s="43"/>
      <c r="E867" s="41"/>
      <c r="F867" s="41"/>
    </row>
    <row r="868">
      <c r="A868" s="41"/>
      <c r="B868" s="14"/>
      <c r="C868" s="41"/>
      <c r="D868" s="43"/>
      <c r="E868" s="41"/>
      <c r="F868" s="41"/>
    </row>
    <row r="869">
      <c r="A869" s="41"/>
      <c r="B869" s="14"/>
      <c r="C869" s="41"/>
      <c r="D869" s="43"/>
      <c r="E869" s="41"/>
      <c r="F869" s="41"/>
    </row>
    <row r="870">
      <c r="A870" s="41"/>
      <c r="B870" s="14"/>
      <c r="C870" s="41"/>
      <c r="D870" s="43"/>
      <c r="E870" s="41"/>
      <c r="F870" s="41"/>
    </row>
    <row r="871">
      <c r="A871" s="41"/>
      <c r="B871" s="14"/>
      <c r="C871" s="41"/>
      <c r="D871" s="43"/>
      <c r="E871" s="41"/>
      <c r="F871" s="41"/>
    </row>
    <row r="872">
      <c r="A872" s="41"/>
      <c r="B872" s="14"/>
      <c r="C872" s="41"/>
      <c r="D872" s="43"/>
      <c r="E872" s="41"/>
      <c r="F872" s="41"/>
    </row>
    <row r="873">
      <c r="A873" s="41"/>
      <c r="B873" s="14"/>
      <c r="C873" s="41"/>
      <c r="D873" s="43"/>
      <c r="E873" s="41"/>
      <c r="F873" s="41"/>
    </row>
    <row r="874">
      <c r="A874" s="41"/>
      <c r="B874" s="14"/>
      <c r="C874" s="41"/>
      <c r="D874" s="43"/>
      <c r="E874" s="41"/>
      <c r="F874" s="41"/>
    </row>
    <row r="875">
      <c r="A875" s="41"/>
      <c r="B875" s="14"/>
      <c r="C875" s="41"/>
      <c r="D875" s="43"/>
      <c r="E875" s="41"/>
      <c r="F875" s="41"/>
    </row>
    <row r="876">
      <c r="A876" s="41"/>
      <c r="B876" s="14"/>
      <c r="C876" s="41"/>
      <c r="D876" s="43"/>
      <c r="E876" s="41"/>
      <c r="F876" s="41"/>
    </row>
    <row r="877">
      <c r="A877" s="41"/>
      <c r="B877" s="14"/>
      <c r="C877" s="41"/>
      <c r="D877" s="43"/>
      <c r="E877" s="41"/>
      <c r="F877" s="41"/>
    </row>
    <row r="878">
      <c r="A878" s="41"/>
      <c r="B878" s="14"/>
      <c r="C878" s="41"/>
      <c r="D878" s="43"/>
      <c r="E878" s="41"/>
      <c r="F878" s="41"/>
    </row>
    <row r="879">
      <c r="A879" s="41"/>
      <c r="B879" s="14"/>
      <c r="C879" s="41"/>
      <c r="D879" s="43"/>
      <c r="E879" s="41"/>
      <c r="F879" s="41"/>
    </row>
    <row r="880">
      <c r="A880" s="41"/>
      <c r="B880" s="14"/>
      <c r="C880" s="41"/>
      <c r="D880" s="43"/>
      <c r="E880" s="41"/>
      <c r="F880" s="41"/>
    </row>
    <row r="881">
      <c r="A881" s="41"/>
      <c r="B881" s="14"/>
      <c r="C881" s="41"/>
      <c r="D881" s="43"/>
      <c r="E881" s="41"/>
      <c r="F881" s="41"/>
    </row>
    <row r="882">
      <c r="A882" s="41"/>
      <c r="B882" s="14"/>
      <c r="C882" s="41"/>
      <c r="D882" s="43"/>
      <c r="E882" s="41"/>
      <c r="F882" s="41"/>
    </row>
    <row r="883">
      <c r="A883" s="41"/>
      <c r="B883" s="14"/>
      <c r="C883" s="41"/>
      <c r="D883" s="43"/>
      <c r="E883" s="41"/>
      <c r="F883" s="41"/>
    </row>
    <row r="884">
      <c r="A884" s="41"/>
      <c r="B884" s="14"/>
      <c r="C884" s="41"/>
      <c r="D884" s="43"/>
      <c r="E884" s="41"/>
      <c r="F884" s="41"/>
    </row>
    <row r="885">
      <c r="A885" s="41"/>
      <c r="B885" s="14"/>
      <c r="C885" s="41"/>
      <c r="D885" s="43"/>
      <c r="E885" s="41"/>
      <c r="F885" s="41"/>
    </row>
    <row r="886">
      <c r="A886" s="41"/>
      <c r="B886" s="14"/>
      <c r="C886" s="41"/>
      <c r="D886" s="43"/>
      <c r="E886" s="41"/>
      <c r="F886" s="41"/>
    </row>
    <row r="887">
      <c r="A887" s="41"/>
      <c r="B887" s="14"/>
      <c r="C887" s="41"/>
      <c r="D887" s="43"/>
      <c r="E887" s="41"/>
      <c r="F887" s="41"/>
    </row>
    <row r="888">
      <c r="A888" s="41"/>
      <c r="B888" s="14"/>
      <c r="C888" s="41"/>
      <c r="D888" s="43"/>
      <c r="E888" s="41"/>
      <c r="F888" s="41"/>
    </row>
    <row r="889">
      <c r="A889" s="41"/>
      <c r="B889" s="14"/>
      <c r="C889" s="41"/>
      <c r="D889" s="43"/>
      <c r="E889" s="41"/>
      <c r="F889" s="41"/>
    </row>
    <row r="890">
      <c r="A890" s="41"/>
      <c r="B890" s="14"/>
      <c r="C890" s="41"/>
      <c r="D890" s="43"/>
      <c r="E890" s="41"/>
      <c r="F890" s="41"/>
    </row>
    <row r="891">
      <c r="A891" s="41"/>
      <c r="B891" s="14"/>
      <c r="C891" s="41"/>
      <c r="D891" s="43"/>
      <c r="E891" s="41"/>
      <c r="F891" s="41"/>
    </row>
    <row r="892">
      <c r="A892" s="41"/>
      <c r="B892" s="14"/>
      <c r="C892" s="41"/>
      <c r="D892" s="43"/>
      <c r="E892" s="41"/>
      <c r="F892" s="41"/>
    </row>
    <row r="893">
      <c r="A893" s="41"/>
      <c r="B893" s="14"/>
      <c r="C893" s="41"/>
      <c r="D893" s="43"/>
      <c r="E893" s="41"/>
      <c r="F893" s="41"/>
    </row>
    <row r="894">
      <c r="A894" s="41"/>
      <c r="B894" s="14"/>
      <c r="C894" s="41"/>
      <c r="D894" s="43"/>
      <c r="E894" s="41"/>
      <c r="F894" s="41"/>
    </row>
    <row r="895">
      <c r="A895" s="41"/>
      <c r="B895" s="14"/>
      <c r="C895" s="41"/>
      <c r="D895" s="43"/>
      <c r="E895" s="41"/>
      <c r="F895" s="41"/>
    </row>
    <row r="896">
      <c r="A896" s="41"/>
      <c r="B896" s="14"/>
      <c r="C896" s="41"/>
      <c r="D896" s="43"/>
      <c r="E896" s="41"/>
      <c r="F896" s="41"/>
    </row>
    <row r="897">
      <c r="A897" s="41"/>
      <c r="B897" s="14"/>
      <c r="C897" s="41"/>
      <c r="D897" s="43"/>
      <c r="E897" s="41"/>
      <c r="F897" s="41"/>
    </row>
    <row r="898">
      <c r="A898" s="41"/>
      <c r="B898" s="14"/>
      <c r="C898" s="41"/>
      <c r="D898" s="43"/>
      <c r="E898" s="41"/>
      <c r="F898" s="41"/>
    </row>
    <row r="899">
      <c r="A899" s="41"/>
      <c r="B899" s="14"/>
      <c r="C899" s="41"/>
      <c r="D899" s="43"/>
      <c r="E899" s="41"/>
      <c r="F899" s="41"/>
    </row>
    <row r="900">
      <c r="A900" s="41"/>
      <c r="B900" s="14"/>
      <c r="C900" s="41"/>
      <c r="D900" s="43"/>
      <c r="E900" s="41"/>
      <c r="F900" s="41"/>
    </row>
    <row r="901">
      <c r="A901" s="41"/>
      <c r="B901" s="14"/>
      <c r="C901" s="41"/>
      <c r="D901" s="43"/>
      <c r="E901" s="41"/>
      <c r="F901" s="41"/>
    </row>
    <row r="902">
      <c r="A902" s="41"/>
      <c r="B902" s="14"/>
      <c r="C902" s="41"/>
      <c r="D902" s="43"/>
      <c r="E902" s="41"/>
      <c r="F902" s="41"/>
    </row>
    <row r="903">
      <c r="A903" s="41"/>
      <c r="B903" s="14"/>
      <c r="C903" s="41"/>
      <c r="D903" s="43"/>
      <c r="E903" s="41"/>
      <c r="F903" s="41"/>
    </row>
    <row r="904">
      <c r="A904" s="41"/>
      <c r="B904" s="14"/>
      <c r="C904" s="41"/>
      <c r="D904" s="43"/>
      <c r="E904" s="41"/>
      <c r="F904" s="41"/>
    </row>
    <row r="905">
      <c r="A905" s="41"/>
      <c r="B905" s="14"/>
      <c r="C905" s="41"/>
      <c r="D905" s="43"/>
      <c r="E905" s="41"/>
      <c r="F905" s="41"/>
    </row>
    <row r="906">
      <c r="A906" s="41"/>
      <c r="B906" s="14"/>
      <c r="C906" s="41"/>
      <c r="D906" s="43"/>
      <c r="E906" s="41"/>
      <c r="F906" s="41"/>
    </row>
    <row r="907">
      <c r="A907" s="41"/>
      <c r="B907" s="14"/>
      <c r="C907" s="41"/>
      <c r="D907" s="43"/>
      <c r="E907" s="41"/>
      <c r="F907" s="41"/>
    </row>
    <row r="908">
      <c r="A908" s="41"/>
      <c r="B908" s="14"/>
      <c r="C908" s="41"/>
      <c r="D908" s="43"/>
      <c r="E908" s="41"/>
      <c r="F908" s="41"/>
    </row>
    <row r="909">
      <c r="A909" s="41"/>
      <c r="B909" s="14"/>
      <c r="C909" s="41"/>
      <c r="D909" s="43"/>
      <c r="E909" s="41"/>
      <c r="F909" s="41"/>
    </row>
    <row r="910">
      <c r="A910" s="41"/>
      <c r="B910" s="14"/>
      <c r="C910" s="41"/>
      <c r="D910" s="43"/>
      <c r="E910" s="41"/>
      <c r="F910" s="41"/>
    </row>
    <row r="911">
      <c r="A911" s="41"/>
      <c r="B911" s="14"/>
      <c r="C911" s="41"/>
      <c r="D911" s="43"/>
      <c r="E911" s="41"/>
      <c r="F911" s="41"/>
    </row>
    <row r="912">
      <c r="A912" s="41"/>
      <c r="B912" s="14"/>
      <c r="C912" s="41"/>
      <c r="D912" s="43"/>
      <c r="E912" s="41"/>
      <c r="F912" s="41"/>
    </row>
    <row r="913">
      <c r="A913" s="41"/>
      <c r="B913" s="14"/>
      <c r="C913" s="41"/>
      <c r="D913" s="43"/>
      <c r="E913" s="41"/>
      <c r="F913" s="41"/>
    </row>
    <row r="914">
      <c r="A914" s="41"/>
      <c r="B914" s="14"/>
      <c r="C914" s="41"/>
      <c r="D914" s="43"/>
      <c r="E914" s="41"/>
      <c r="F914" s="41"/>
    </row>
    <row r="915">
      <c r="A915" s="41"/>
      <c r="B915" s="14"/>
      <c r="C915" s="41"/>
      <c r="D915" s="43"/>
      <c r="E915" s="41"/>
      <c r="F915" s="41"/>
    </row>
    <row r="916">
      <c r="A916" s="41"/>
      <c r="B916" s="14"/>
      <c r="C916" s="41"/>
      <c r="D916" s="43"/>
      <c r="E916" s="41"/>
      <c r="F916" s="41"/>
    </row>
    <row r="917">
      <c r="A917" s="41"/>
      <c r="B917" s="14"/>
      <c r="C917" s="41"/>
      <c r="D917" s="43"/>
      <c r="E917" s="41"/>
      <c r="F917" s="41"/>
    </row>
    <row r="918">
      <c r="A918" s="41"/>
      <c r="B918" s="14"/>
      <c r="C918" s="41"/>
      <c r="D918" s="43"/>
      <c r="E918" s="41"/>
      <c r="F918" s="41"/>
    </row>
    <row r="919">
      <c r="A919" s="41"/>
      <c r="B919" s="14"/>
      <c r="C919" s="41"/>
      <c r="D919" s="43"/>
      <c r="E919" s="41"/>
      <c r="F919" s="41"/>
    </row>
    <row r="920">
      <c r="A920" s="41"/>
      <c r="B920" s="14"/>
      <c r="C920" s="41"/>
      <c r="D920" s="43"/>
      <c r="E920" s="41"/>
      <c r="F920" s="41"/>
    </row>
    <row r="921">
      <c r="A921" s="41"/>
      <c r="B921" s="14"/>
      <c r="C921" s="41"/>
      <c r="D921" s="43"/>
      <c r="E921" s="41"/>
      <c r="F921" s="41"/>
    </row>
    <row r="922">
      <c r="A922" s="41"/>
      <c r="B922" s="14"/>
      <c r="C922" s="41"/>
      <c r="D922" s="43"/>
      <c r="E922" s="41"/>
      <c r="F922" s="41"/>
    </row>
    <row r="923">
      <c r="A923" s="41"/>
      <c r="B923" s="14"/>
      <c r="C923" s="41"/>
      <c r="D923" s="43"/>
      <c r="E923" s="41"/>
      <c r="F923" s="41"/>
    </row>
    <row r="924">
      <c r="A924" s="41"/>
      <c r="B924" s="14"/>
      <c r="C924" s="41"/>
      <c r="D924" s="43"/>
      <c r="E924" s="41"/>
      <c r="F924" s="41"/>
    </row>
    <row r="925">
      <c r="A925" s="41"/>
      <c r="B925" s="14"/>
      <c r="C925" s="41"/>
      <c r="D925" s="43"/>
      <c r="E925" s="41"/>
      <c r="F925" s="41"/>
    </row>
    <row r="926">
      <c r="A926" s="41"/>
      <c r="B926" s="14"/>
      <c r="C926" s="41"/>
      <c r="D926" s="43"/>
      <c r="E926" s="41"/>
      <c r="F926" s="41"/>
    </row>
    <row r="927">
      <c r="A927" s="41"/>
      <c r="B927" s="14"/>
      <c r="C927" s="41"/>
      <c r="D927" s="43"/>
      <c r="E927" s="41"/>
      <c r="F927" s="41"/>
    </row>
    <row r="928">
      <c r="A928" s="41"/>
      <c r="B928" s="14"/>
      <c r="C928" s="41"/>
      <c r="D928" s="43"/>
      <c r="E928" s="41"/>
      <c r="F928" s="41"/>
    </row>
    <row r="929">
      <c r="A929" s="41"/>
      <c r="B929" s="14"/>
      <c r="C929" s="41"/>
      <c r="D929" s="43"/>
      <c r="E929" s="41"/>
      <c r="F929" s="41"/>
    </row>
    <row r="930">
      <c r="A930" s="41"/>
      <c r="B930" s="14"/>
      <c r="C930" s="41"/>
      <c r="D930" s="43"/>
      <c r="E930" s="41"/>
      <c r="F930" s="41"/>
    </row>
    <row r="931">
      <c r="A931" s="41"/>
      <c r="B931" s="14"/>
      <c r="C931" s="41"/>
      <c r="D931" s="43"/>
      <c r="E931" s="41"/>
      <c r="F931" s="41"/>
    </row>
    <row r="932">
      <c r="A932" s="41"/>
      <c r="B932" s="14"/>
      <c r="C932" s="41"/>
      <c r="D932" s="43"/>
      <c r="E932" s="41"/>
      <c r="F932" s="41"/>
    </row>
    <row r="933">
      <c r="A933" s="41"/>
      <c r="B933" s="14"/>
      <c r="C933" s="41"/>
      <c r="D933" s="43"/>
      <c r="E933" s="41"/>
      <c r="F933" s="41"/>
    </row>
    <row r="934">
      <c r="A934" s="41"/>
      <c r="B934" s="14"/>
      <c r="C934" s="41"/>
      <c r="D934" s="43"/>
      <c r="E934" s="41"/>
      <c r="F934" s="41"/>
    </row>
    <row r="935">
      <c r="A935" s="41"/>
      <c r="B935" s="14"/>
      <c r="C935" s="41"/>
      <c r="D935" s="43"/>
      <c r="E935" s="41"/>
      <c r="F935" s="41"/>
    </row>
    <row r="936">
      <c r="A936" s="41"/>
      <c r="B936" s="14"/>
      <c r="C936" s="41"/>
      <c r="D936" s="43"/>
      <c r="E936" s="41"/>
      <c r="F936" s="41"/>
    </row>
    <row r="937">
      <c r="A937" s="41"/>
      <c r="B937" s="14"/>
      <c r="C937" s="41"/>
      <c r="D937" s="43"/>
      <c r="E937" s="41"/>
      <c r="F937" s="41"/>
    </row>
    <row r="938">
      <c r="A938" s="41"/>
      <c r="B938" s="14"/>
      <c r="C938" s="41"/>
      <c r="D938" s="43"/>
      <c r="E938" s="41"/>
      <c r="F938" s="41"/>
    </row>
    <row r="939">
      <c r="A939" s="41"/>
      <c r="B939" s="14"/>
      <c r="C939" s="41"/>
      <c r="D939" s="43"/>
      <c r="E939" s="41"/>
      <c r="F939" s="41"/>
    </row>
    <row r="940">
      <c r="A940" s="41"/>
      <c r="B940" s="14"/>
      <c r="C940" s="41"/>
      <c r="D940" s="43"/>
      <c r="E940" s="41"/>
      <c r="F940" s="41"/>
    </row>
    <row r="941">
      <c r="A941" s="41"/>
      <c r="B941" s="14"/>
      <c r="C941" s="41"/>
      <c r="D941" s="43"/>
      <c r="E941" s="41"/>
      <c r="F941" s="41"/>
    </row>
    <row r="942">
      <c r="A942" s="41"/>
      <c r="B942" s="14"/>
      <c r="C942" s="41"/>
      <c r="D942" s="43"/>
      <c r="E942" s="41"/>
      <c r="F942" s="41"/>
    </row>
    <row r="943">
      <c r="A943" s="41"/>
      <c r="B943" s="14"/>
      <c r="C943" s="41"/>
      <c r="D943" s="43"/>
      <c r="E943" s="41"/>
      <c r="F943" s="41"/>
    </row>
    <row r="944">
      <c r="A944" s="41"/>
      <c r="B944" s="14"/>
      <c r="C944" s="41"/>
      <c r="D944" s="43"/>
      <c r="E944" s="41"/>
      <c r="F944" s="41"/>
    </row>
    <row r="945">
      <c r="A945" s="41"/>
      <c r="B945" s="14"/>
      <c r="C945" s="41"/>
      <c r="D945" s="43"/>
      <c r="E945" s="41"/>
      <c r="F945" s="41"/>
    </row>
    <row r="946">
      <c r="A946" s="41"/>
      <c r="B946" s="14"/>
      <c r="C946" s="41"/>
      <c r="D946" s="43"/>
      <c r="E946" s="41"/>
      <c r="F946" s="41"/>
    </row>
    <row r="947">
      <c r="A947" s="41"/>
      <c r="B947" s="14"/>
      <c r="C947" s="41"/>
      <c r="D947" s="43"/>
      <c r="E947" s="41"/>
      <c r="F947" s="41"/>
    </row>
    <row r="948">
      <c r="A948" s="41"/>
      <c r="B948" s="14"/>
      <c r="C948" s="41"/>
      <c r="D948" s="43"/>
      <c r="E948" s="41"/>
      <c r="F948" s="41"/>
    </row>
    <row r="949">
      <c r="A949" s="41"/>
      <c r="B949" s="14"/>
      <c r="C949" s="41"/>
      <c r="D949" s="43"/>
      <c r="E949" s="41"/>
      <c r="F949" s="41"/>
    </row>
    <row r="950">
      <c r="A950" s="41"/>
      <c r="B950" s="14"/>
      <c r="C950" s="41"/>
      <c r="D950" s="43"/>
      <c r="E950" s="41"/>
      <c r="F950" s="41"/>
    </row>
    <row r="951">
      <c r="A951" s="41"/>
      <c r="B951" s="14"/>
      <c r="C951" s="41"/>
      <c r="D951" s="43"/>
      <c r="E951" s="41"/>
      <c r="F951" s="41"/>
    </row>
    <row r="952">
      <c r="A952" s="41"/>
      <c r="B952" s="14"/>
      <c r="C952" s="41"/>
      <c r="D952" s="43"/>
      <c r="E952" s="41"/>
      <c r="F952" s="41"/>
    </row>
    <row r="953">
      <c r="A953" s="41"/>
      <c r="B953" s="14"/>
      <c r="C953" s="41"/>
      <c r="D953" s="43"/>
      <c r="E953" s="41"/>
      <c r="F953" s="41"/>
    </row>
    <row r="954">
      <c r="A954" s="41"/>
      <c r="B954" s="14"/>
      <c r="C954" s="41"/>
      <c r="D954" s="43"/>
      <c r="E954" s="41"/>
      <c r="F954" s="41"/>
    </row>
    <row r="955">
      <c r="A955" s="41"/>
      <c r="B955" s="14"/>
      <c r="C955" s="41"/>
      <c r="D955" s="43"/>
      <c r="E955" s="41"/>
      <c r="F955" s="41"/>
    </row>
    <row r="956">
      <c r="A956" s="41"/>
      <c r="B956" s="14"/>
      <c r="C956" s="41"/>
      <c r="D956" s="43"/>
      <c r="E956" s="41"/>
      <c r="F956" s="41"/>
    </row>
    <row r="957">
      <c r="A957" s="41"/>
      <c r="B957" s="14"/>
      <c r="C957" s="41"/>
      <c r="D957" s="43"/>
      <c r="E957" s="41"/>
      <c r="F957" s="41"/>
    </row>
    <row r="958">
      <c r="A958" s="41"/>
      <c r="B958" s="14"/>
      <c r="C958" s="41"/>
      <c r="D958" s="43"/>
      <c r="E958" s="41"/>
      <c r="F958" s="41"/>
    </row>
    <row r="959">
      <c r="A959" s="41"/>
      <c r="B959" s="14"/>
      <c r="C959" s="41"/>
      <c r="D959" s="43"/>
      <c r="E959" s="41"/>
      <c r="F959" s="41"/>
    </row>
    <row r="960">
      <c r="A960" s="41"/>
      <c r="B960" s="14"/>
      <c r="C960" s="41"/>
      <c r="D960" s="43"/>
      <c r="E960" s="41"/>
      <c r="F960" s="41"/>
    </row>
    <row r="961">
      <c r="A961" s="41"/>
      <c r="B961" s="14"/>
      <c r="C961" s="41"/>
      <c r="D961" s="43"/>
      <c r="E961" s="41"/>
      <c r="F961" s="41"/>
    </row>
    <row r="962">
      <c r="A962" s="41"/>
      <c r="B962" s="14"/>
      <c r="C962" s="41"/>
      <c r="D962" s="43"/>
      <c r="E962" s="41"/>
      <c r="F962" s="41"/>
    </row>
    <row r="963">
      <c r="A963" s="41"/>
      <c r="B963" s="14"/>
      <c r="C963" s="41"/>
      <c r="D963" s="43"/>
      <c r="E963" s="41"/>
      <c r="F963" s="41"/>
    </row>
    <row r="964">
      <c r="A964" s="41"/>
      <c r="B964" s="14"/>
      <c r="C964" s="41"/>
      <c r="D964" s="43"/>
      <c r="E964" s="41"/>
      <c r="F964" s="41"/>
    </row>
    <row r="965">
      <c r="A965" s="41"/>
      <c r="B965" s="14"/>
      <c r="C965" s="41"/>
      <c r="D965" s="43"/>
      <c r="E965" s="41"/>
      <c r="F965" s="41"/>
    </row>
    <row r="966">
      <c r="A966" s="41"/>
      <c r="B966" s="14"/>
      <c r="C966" s="41"/>
      <c r="D966" s="43"/>
      <c r="E966" s="41"/>
      <c r="F966" s="41"/>
    </row>
    <row r="967">
      <c r="A967" s="41"/>
      <c r="B967" s="14"/>
      <c r="C967" s="41"/>
      <c r="D967" s="43"/>
      <c r="E967" s="41"/>
      <c r="F967" s="41"/>
    </row>
    <row r="968">
      <c r="A968" s="41"/>
      <c r="B968" s="14"/>
      <c r="C968" s="41"/>
      <c r="D968" s="43"/>
      <c r="E968" s="41"/>
      <c r="F968" s="41"/>
    </row>
    <row r="969">
      <c r="A969" s="41"/>
      <c r="B969" s="14"/>
      <c r="C969" s="41"/>
      <c r="D969" s="43"/>
      <c r="E969" s="41"/>
      <c r="F969" s="41"/>
    </row>
    <row r="970">
      <c r="A970" s="41"/>
      <c r="B970" s="14"/>
      <c r="C970" s="41"/>
      <c r="D970" s="43"/>
      <c r="E970" s="41"/>
      <c r="F970" s="41"/>
    </row>
    <row r="971">
      <c r="A971" s="41"/>
      <c r="B971" s="14"/>
      <c r="C971" s="41"/>
      <c r="D971" s="43"/>
      <c r="E971" s="41"/>
      <c r="F971" s="41"/>
    </row>
    <row r="972">
      <c r="A972" s="41"/>
      <c r="B972" s="14"/>
      <c r="C972" s="41"/>
      <c r="D972" s="43"/>
      <c r="E972" s="41"/>
      <c r="F972" s="41"/>
    </row>
    <row r="973">
      <c r="A973" s="41"/>
      <c r="B973" s="14"/>
      <c r="C973" s="41"/>
      <c r="D973" s="43"/>
      <c r="E973" s="41"/>
      <c r="F973" s="41"/>
    </row>
    <row r="974">
      <c r="A974" s="41"/>
      <c r="B974" s="14"/>
      <c r="C974" s="41"/>
      <c r="D974" s="43"/>
      <c r="E974" s="41"/>
      <c r="F974" s="41"/>
    </row>
    <row r="975">
      <c r="A975" s="41"/>
      <c r="B975" s="14"/>
      <c r="C975" s="41"/>
      <c r="D975" s="43"/>
      <c r="E975" s="41"/>
      <c r="F975" s="41"/>
    </row>
    <row r="976">
      <c r="A976" s="41"/>
      <c r="B976" s="14"/>
      <c r="C976" s="41"/>
      <c r="D976" s="43"/>
      <c r="E976" s="41"/>
      <c r="F976" s="41"/>
    </row>
    <row r="977">
      <c r="A977" s="41"/>
      <c r="B977" s="14"/>
      <c r="C977" s="41"/>
      <c r="D977" s="43"/>
      <c r="E977" s="41"/>
      <c r="F977" s="41"/>
    </row>
    <row r="978">
      <c r="A978" s="41"/>
      <c r="B978" s="14"/>
      <c r="C978" s="41"/>
      <c r="D978" s="43"/>
      <c r="E978" s="41"/>
      <c r="F978" s="41"/>
    </row>
    <row r="979">
      <c r="A979" s="41"/>
      <c r="B979" s="14"/>
      <c r="C979" s="41"/>
      <c r="D979" s="43"/>
      <c r="E979" s="41"/>
      <c r="F979" s="41"/>
    </row>
    <row r="980">
      <c r="A980" s="41"/>
      <c r="B980" s="14"/>
      <c r="C980" s="41"/>
      <c r="D980" s="43"/>
      <c r="E980" s="41"/>
      <c r="F980" s="41"/>
    </row>
    <row r="981">
      <c r="A981" s="41"/>
      <c r="B981" s="14"/>
      <c r="C981" s="41"/>
      <c r="D981" s="43"/>
      <c r="E981" s="41"/>
      <c r="F981" s="41"/>
    </row>
    <row r="982">
      <c r="A982" s="41"/>
      <c r="B982" s="14"/>
      <c r="C982" s="41"/>
      <c r="D982" s="43"/>
      <c r="E982" s="41"/>
      <c r="F982" s="41"/>
    </row>
    <row r="983">
      <c r="A983" s="41"/>
      <c r="B983" s="14"/>
      <c r="C983" s="41"/>
      <c r="D983" s="43"/>
      <c r="E983" s="41"/>
      <c r="F983" s="41"/>
    </row>
    <row r="984">
      <c r="A984" s="41"/>
      <c r="B984" s="14"/>
      <c r="C984" s="41"/>
      <c r="D984" s="43"/>
      <c r="E984" s="41"/>
      <c r="F984" s="41"/>
    </row>
    <row r="985">
      <c r="A985" s="41"/>
      <c r="B985" s="14"/>
      <c r="C985" s="41"/>
      <c r="D985" s="43"/>
      <c r="E985" s="41"/>
      <c r="F985" s="41"/>
    </row>
    <row r="986">
      <c r="A986" s="41"/>
      <c r="B986" s="14"/>
      <c r="C986" s="41"/>
      <c r="D986" s="43"/>
      <c r="E986" s="41"/>
      <c r="F986" s="41"/>
    </row>
    <row r="987">
      <c r="A987" s="41"/>
      <c r="B987" s="14"/>
      <c r="C987" s="41"/>
      <c r="D987" s="43"/>
      <c r="E987" s="41"/>
      <c r="F987" s="41"/>
    </row>
    <row r="988">
      <c r="A988" s="41"/>
      <c r="B988" s="14"/>
      <c r="C988" s="41"/>
      <c r="D988" s="43"/>
      <c r="E988" s="41"/>
      <c r="F988" s="41"/>
    </row>
    <row r="989">
      <c r="A989" s="41"/>
      <c r="B989" s="14"/>
      <c r="C989" s="41"/>
      <c r="D989" s="43"/>
      <c r="E989" s="41"/>
      <c r="F989" s="41"/>
    </row>
    <row r="990">
      <c r="A990" s="41"/>
      <c r="B990" s="14"/>
      <c r="C990" s="41"/>
      <c r="D990" s="43"/>
      <c r="E990" s="41"/>
      <c r="F990" s="41"/>
    </row>
    <row r="991">
      <c r="A991" s="41"/>
      <c r="B991" s="14"/>
      <c r="C991" s="41"/>
      <c r="D991" s="43"/>
      <c r="E991" s="41"/>
      <c r="F991" s="41"/>
    </row>
    <row r="992">
      <c r="A992" s="41"/>
      <c r="B992" s="14"/>
      <c r="C992" s="41"/>
      <c r="D992" s="43"/>
      <c r="E992" s="41"/>
      <c r="F992" s="41"/>
    </row>
    <row r="993">
      <c r="A993" s="41"/>
      <c r="B993" s="14"/>
      <c r="C993" s="41"/>
      <c r="D993" s="43"/>
      <c r="E993" s="41"/>
      <c r="F993" s="41"/>
    </row>
    <row r="994">
      <c r="A994" s="41"/>
      <c r="B994" s="14"/>
      <c r="C994" s="41"/>
      <c r="D994" s="43"/>
      <c r="E994" s="41"/>
      <c r="F994" s="41"/>
    </row>
    <row r="995">
      <c r="A995" s="41"/>
      <c r="B995" s="14"/>
      <c r="C995" s="41"/>
      <c r="D995" s="43"/>
      <c r="E995" s="41"/>
      <c r="F995" s="41"/>
    </row>
    <row r="996">
      <c r="A996" s="41"/>
      <c r="B996" s="14"/>
      <c r="C996" s="41"/>
      <c r="D996" s="43"/>
      <c r="E996" s="41"/>
      <c r="F996" s="41"/>
    </row>
    <row r="997">
      <c r="A997" s="41"/>
      <c r="B997" s="14"/>
      <c r="C997" s="41"/>
      <c r="D997" s="43"/>
      <c r="E997" s="41"/>
      <c r="F997" s="41"/>
    </row>
    <row r="998">
      <c r="A998" s="41"/>
      <c r="B998" s="14"/>
      <c r="C998" s="41"/>
      <c r="D998" s="43"/>
      <c r="E998" s="41"/>
      <c r="F998" s="41"/>
    </row>
    <row r="999">
      <c r="A999" s="41"/>
      <c r="B999" s="14"/>
      <c r="C999" s="41"/>
      <c r="D999" s="43"/>
      <c r="E999" s="41"/>
      <c r="F999" s="41"/>
    </row>
    <row r="1000">
      <c r="A1000" s="41"/>
      <c r="B1000" s="14"/>
      <c r="C1000" s="41"/>
      <c r="D1000" s="43"/>
      <c r="E1000" s="41"/>
      <c r="F1000" s="41"/>
    </row>
  </sheetData>
  <dataValidations>
    <dataValidation type="custom" allowBlank="1" showDropDown="1" sqref="D2:D201">
      <formula1>OR(NOT(ISERROR(DATEVALUE(D2))), AND(ISNUMBER(D2), LEFT(CELL("format", D2))="D"))</formula1>
    </dataValidation>
    <dataValidation type="custom" allowBlank="1" showDropDown="1" sqref="B2:B201">
      <formula1>AND(ISNUMBER(B2),(NOT(OR(NOT(ISERROR(DATEVALUE(B2))), AND(ISNUMBER(B2), LEFT(CELL("format", B2))="D")))))</formula1>
    </dataValidation>
    <dataValidation allowBlank="1" showDropDown="1" sqref="A2:A201 C2:C201 E2:F201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6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</sheetData>
  <drawing r:id="rId2"/>
</worksheet>
</file>